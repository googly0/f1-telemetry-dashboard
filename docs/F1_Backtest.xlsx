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Year" sheetId="2" state="visible" r:id="rId4"/>
    <sheet name="Next Steps" sheetId="3" state="visible" r:id="rId5"/>
    <sheet name="Ra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Model probability the picked driver wins. Computed in Python from the Plackett-Luce winner formula: exp(score)/sum(exp(scores)), DNFs ignored.</t>
        </r>
      </text>
    </comment>
    <comment ref="K1" authorId="0">
      <text>
        <r>
          <rPr>
            <sz val="10"/>
            <rFont val="Arial"/>
            <family val="2"/>
          </rPr>
          <t xml:space="preserve">Probability the model gave the driver who actually won. Lower = more surprised.</t>
        </r>
      </text>
    </comment>
    <comment ref="R1" authorId="0">
      <text>
        <r>
          <rPr>
            <sz val="10"/>
            <rFont val="Arial"/>
            <family val="2"/>
          </rPr>
          <t xml:space="preserve">How many of the model's top-3 strongest drivers actually finished on the podium.</t>
        </r>
      </text>
    </comment>
  </commentList>
</comments>
</file>

<file path=xl/sharedStrings.xml><?xml version="1.0" encoding="utf-8"?>
<sst xmlns="http://schemas.openxmlformats.org/spreadsheetml/2006/main" count="1229" uniqueCount="149">
  <si>
    <t xml:space="preserve">F1 Predictor Backtest — 2016–2026</t>
  </si>
  <si>
    <t xml:space="preserve">Every summary number below is a formula over the Races tab. Train = 2016–2023 (weights fitted here); Test = 2024–2026 (never seen during fitting). 2015 excluded: Elo has no history yet.</t>
  </si>
  <si>
    <t xml:space="preserve">Metric (Test 2024–2026)</t>
  </si>
  <si>
    <t xml:space="preserve">Current model</t>
  </si>
  <si>
    <t xml:space="preserve">New model</t>
  </si>
  <si>
    <t xml:space="preserve">Uniform baseline</t>
  </si>
  <si>
    <t xml:space="preserve">Change (new vs current)</t>
  </si>
  <si>
    <t xml:space="preserve">How to read it</t>
  </si>
  <si>
    <t xml:space="preserve">Races in test set</t>
  </si>
  <si>
    <t xml:space="preserve">Sample size</t>
  </si>
  <si>
    <t xml:space="preserve">Win log-loss</t>
  </si>
  <si>
    <t xml:space="preserve">Lower is better. Main accuracy score.</t>
  </si>
  <si>
    <t xml:space="preserve">Winner picked correctly</t>
  </si>
  <si>
    <t xml:space="preserve">Share of races where top pick won</t>
  </si>
  <si>
    <t xml:space="preserve">Podium drivers correct</t>
  </si>
  <si>
    <t xml:space="preserve">Of the 3 podium spots, share predicted</t>
  </si>
  <si>
    <t xml:space="preserve">Metric (Train 2016–2023)</t>
  </si>
  <si>
    <t xml:space="preserve">Change</t>
  </si>
  <si>
    <t xml:space="preserve">Races</t>
  </si>
  <si>
    <t xml:space="preserve">Model parameters</t>
  </si>
  <si>
    <t xml:space="preserve">Parameter</t>
  </si>
  <si>
    <t xml:space="preserve">Current</t>
  </si>
  <si>
    <t xml:space="preserve">New (fitted on Train)</t>
  </si>
  <si>
    <t xml:space="preserve">What it means</t>
  </si>
  <si>
    <t xml:space="preserve">Driver weight (vs car)</t>
  </si>
  <si>
    <t xml:space="preserve">Share of strength from driver Elo; rest from team rating</t>
  </si>
  <si>
    <t xml:space="preserve">Temperature</t>
  </si>
  <si>
    <t xml:space="preserve">&gt;1 = more confident favourites, &lt;1 = flatter odds</t>
  </si>
  <si>
    <t xml:space="preserve">Team recent-form weight</t>
  </si>
  <si>
    <t xml:space="preserve">Bonus per unit of last-6-race team points (1.0 = winning every race)</t>
  </si>
  <si>
    <t xml:space="preserve">Blue = hardcoded values. Current = previous hand-tuned predictor.ts (WD=0.3, WT=0.7). New = values now in lib/predictor.ts, fitted by maximising Plackett-Luce likelihood of the top-10 finishing order on 2016–2023 (python scripts/backtest.py --fit). Probabilities in the Races tab were computed in Python from these parameters; changing them here does not recompute the Races tab.</t>
  </si>
  <si>
    <t xml:space="preserve">Calibration check (test set, current model)</t>
  </si>
  <si>
    <t xml:space="preserve">When the model gave a driver 20–40% to win, it averaged 27% predicted vs 29% actual (77 cases). It is calibrated: the low hit rate reflects F1 randomness, not broken probabilities.</t>
  </si>
  <si>
    <t xml:space="preserve">Résumé line this supports</t>
  </si>
  <si>
    <t xml:space="preserve">Year</t>
  </si>
  <si>
    <t xml:space="preserve">Log-loss current</t>
  </si>
  <si>
    <t xml:space="preserve">Log-loss new</t>
  </si>
  <si>
    <t xml:space="preserve">Hit current</t>
  </si>
  <si>
    <t xml:space="preserve">Hit new</t>
  </si>
  <si>
    <t xml:space="preserve">Podium current</t>
  </si>
  <si>
    <t xml:space="preserve">Podium new</t>
  </si>
  <si>
    <t xml:space="preserve">Log-loss change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</si>
  <si>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</si>
  <si>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</si>
  <si>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</si>
  <si>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</si>
  <si>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</si>
  <si>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</si>
  <si>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</si>
  <si>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</si>
  <si>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</si>
  <si>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</si>
  <si>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</si>
  <si>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#</t>
  </si>
  <si>
    <t xml:space="preserve">Improvement</t>
  </si>
  <si>
    <t xml:space="preserve">Measured / expected impact</t>
  </si>
  <si>
    <t xml:space="preserve">Blocker</t>
  </si>
  <si>
    <t xml:space="preserve">Confidence</t>
  </si>
  <si>
    <t xml:space="preserve">Fit driver/team weights + temperature to data</t>
  </si>
  <si>
    <t xml:space="preserve">~6% lower test log-loss (measured)</t>
  </si>
  <si>
    <t xml:space="preserve">None — shipped</t>
  </si>
  <si>
    <t xml:space="preserve">Certain</t>
  </si>
  <si>
    <t xml:space="preserve">Add last-6-race team form signal</t>
  </si>
  <si>
    <t xml:space="preserve">Included in "New model"; now in lib/predictor.ts</t>
  </si>
  <si>
    <t xml:space="preserve">Add qualifying / grid position</t>
  </si>
  <si>
    <t xml:space="preserve">Expected to be the largest single gain</t>
  </si>
  <si>
    <t xml:space="preserve">Grid data lives in local Ergast CSVs, not on GitHub</t>
  </si>
  <si>
    <t xml:space="preserve">Likely</t>
  </si>
  <si>
    <t xml:space="preserve">Faster Elo / team-rating updates (K-factor)</t>
  </si>
  <si>
    <t xml:space="preserve">Should fix 2024 Verstappen lag</t>
  </si>
  <si>
    <t xml:space="preserve">build_all_years.py is local only</t>
  </si>
  <si>
    <t xml:space="preserve">Replace "validated against 2026 results" on résumé</t>
  </si>
  <si>
    <t xml:space="preserve">Makes the claim defensible</t>
  </si>
  <si>
    <t xml:space="preserve">None</t>
  </si>
  <si>
    <t xml:space="preserve">Round</t>
  </si>
  <si>
    <t xml:space="preserve">Race</t>
  </si>
  <si>
    <t xml:space="preserve">Split</t>
  </si>
  <si>
    <t xml:space="preserve">Field size</t>
  </si>
  <si>
    <t xml:space="preserve">Current pick</t>
  </si>
  <si>
    <t xml:space="preserve">Current P(pick)</t>
  </si>
  <si>
    <t xml:space="preserve">New pick</t>
  </si>
  <si>
    <t xml:space="preserve">New P(pick)</t>
  </si>
  <si>
    <t xml:space="preserve">Actual winner</t>
  </si>
  <si>
    <t xml:space="preserve">Current P(actual)</t>
  </si>
  <si>
    <t xml:space="preserve">New P(actual)</t>
  </si>
  <si>
    <t xml:space="preserve">Current hit</t>
  </si>
  <si>
    <t xml:space="preserve">New hit</t>
  </si>
  <si>
    <t xml:space="preserve">Current log-loss</t>
  </si>
  <si>
    <t xml:space="preserve">New log-loss</t>
  </si>
  <si>
    <t xml:space="preserve">Uniform log-loss</t>
  </si>
  <si>
    <t xml:space="preserve">Current podium correct (0-3)</t>
  </si>
  <si>
    <t xml:space="preserve">New podium correct (0-3)</t>
  </si>
  <si>
    <t xml:space="preserve">Australian Grand Prix</t>
  </si>
  <si>
    <t xml:space="preserve">Train</t>
  </si>
  <si>
    <t xml:space="preserve">Lewis Hamilton</t>
  </si>
  <si>
    <t xml:space="preserve">Nico Rosberg</t>
  </si>
  <si>
    <t xml:space="preserve">Bahrain Grand Prix</t>
  </si>
  <si>
    <t xml:space="preserve">Chinese Grand Prix</t>
  </si>
  <si>
    <t xml:space="preserve">Russian Grand Prix</t>
  </si>
  <si>
    <t xml:space="preserve">Spanish Grand Prix</t>
  </si>
  <si>
    <t xml:space="preserve">Max Verstappen</t>
  </si>
  <si>
    <t xml:space="preserve">Monaco Grand Prix</t>
  </si>
  <si>
    <t xml:space="preserve">Canadian Grand Prix</t>
  </si>
  <si>
    <t xml:space="preserve">European Grand Prix</t>
  </si>
  <si>
    <t xml:space="preserve">Austrian Grand Prix</t>
  </si>
  <si>
    <t xml:space="preserve">British Grand Prix</t>
  </si>
  <si>
    <t xml:space="preserve">Hungarian Grand Prix</t>
  </si>
  <si>
    <t xml:space="preserve">German Grand Prix</t>
  </si>
  <si>
    <t xml:space="preserve">Belgian Grand Prix</t>
  </si>
  <si>
    <t xml:space="preserve">Italian Grand Prix</t>
  </si>
  <si>
    <t xml:space="preserve">Singapore Grand Prix</t>
  </si>
  <si>
    <t xml:space="preserve">Malaysian Grand Prix</t>
  </si>
  <si>
    <t xml:space="preserve">Daniel Ricciardo</t>
  </si>
  <si>
    <t xml:space="preserve">Japanese Grand Prix</t>
  </si>
  <si>
    <t xml:space="preserve">United States Grand Prix</t>
  </si>
  <si>
    <t xml:space="preserve">Mexican Grand Prix</t>
  </si>
  <si>
    <t xml:space="preserve">Brazilian Grand Prix</t>
  </si>
  <si>
    <t xml:space="preserve">Abu Dhabi Grand Prix</t>
  </si>
  <si>
    <t xml:space="preserve">Sebastian Vettel</t>
  </si>
  <si>
    <t xml:space="preserve">Valtteri Bottas</t>
  </si>
  <si>
    <t xml:space="preserve">Azerbaijan Grand Prix</t>
  </si>
  <si>
    <t xml:space="preserve">French Grand Prix</t>
  </si>
  <si>
    <t xml:space="preserve">Kimi Räikkönen</t>
  </si>
  <si>
    <t xml:space="preserve">Charles Leclerc</t>
  </si>
  <si>
    <t xml:space="preserve">Styrian Grand Prix</t>
  </si>
  <si>
    <t xml:space="preserve">70th Anniversary Grand Prix</t>
  </si>
  <si>
    <t xml:space="preserve">Pierre Gasly</t>
  </si>
  <si>
    <t xml:space="preserve">Tuscan Grand Prix</t>
  </si>
  <si>
    <t xml:space="preserve">Eifel Grand Prix</t>
  </si>
  <si>
    <t xml:space="preserve">Portuguese Grand Prix</t>
  </si>
  <si>
    <t xml:space="preserve">Emilia Romagna Grand Prix</t>
  </si>
  <si>
    <t xml:space="preserve">Turkish Grand Prix</t>
  </si>
  <si>
    <t xml:space="preserve">Sakhir Grand Prix</t>
  </si>
  <si>
    <t xml:space="preserve">Sergio Pérez</t>
  </si>
  <si>
    <t xml:space="preserve">Esteban Ocon</t>
  </si>
  <si>
    <t xml:space="preserve">Dutch Grand Prix</t>
  </si>
  <si>
    <t xml:space="preserve">Mexico City Grand Prix</t>
  </si>
  <si>
    <t xml:space="preserve">São Paulo Grand Prix</t>
  </si>
  <si>
    <t xml:space="preserve">Qatar Grand Prix</t>
  </si>
  <si>
    <t xml:space="preserve">Saudi Arabian Grand Prix</t>
  </si>
  <si>
    <t xml:space="preserve">Miami Grand Prix</t>
  </si>
  <si>
    <t xml:space="preserve">Carlos Sainz</t>
  </si>
  <si>
    <t xml:space="preserve">George Russell</t>
  </si>
  <si>
    <t xml:space="preserve">Las Vegas Grand Prix</t>
  </si>
  <si>
    <t xml:space="preserve">Test</t>
  </si>
  <si>
    <t xml:space="preserve">Lando Norris</t>
  </si>
  <si>
    <t xml:space="preserve">Oscar Piastri</t>
  </si>
  <si>
    <t xml:space="preserve">Andrea Kimi Antonelli</t>
  </si>
  <si>
    <t xml:space="preserve">Barcelona-Catalunya Grand Prix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</si>
</sst>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+0.0%;\-0.0%;0.0%"/>
    <numFmt numFmtId="167" formatCode="0.000"/>
    <numFmt numFmtId="168" formatCode="0.0%"/>
    <numFmt numFmtId="169" formatCode="\+0.0%;\-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8"/>
  </cols>
  <sheetData>
    <row r="1" customFormat="false" ht="17.3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f aca="false">COUNTIFS(Races!$D$2:$D$226,"Test")</f>
        <v>59</v>
      </c>
      <c r="C5" s="5" t="n">
        <f aca="false">COUNTIFS(Races!$D$2:$D$226,"Test")</f>
        <v>59</v>
      </c>
      <c r="D5" s="5" t="n">
        <f aca="false">COUNTIFS(Races!$D$2:$D$226,"Test")</f>
        <v>59</v>
      </c>
      <c r="E5" s="6"/>
      <c r="F5" s="4" t="s">
        <v>9</v>
      </c>
    </row>
    <row r="6" customFormat="false" ht="15" hidden="false" customHeight="false" outlineLevel="0" collapsed="false">
      <c r="A6" s="4" t="s">
        <v>10</v>
      </c>
      <c r="B6" s="7" t="n">
        <f aca="false">AVERAGEIFS(Races!$O$2:$O$226,Races!$D$2:$D$226,"Test")</f>
        <v>2.07194808279727</v>
      </c>
      <c r="C6" s="7" t="n">
        <f aca="false">AVERAGEIFS(Races!$P$2:$P$226,Races!$D$2:$D$226,"Test")</f>
        <v>1.95618349963223</v>
      </c>
      <c r="D6" s="7" t="n">
        <f aca="false">AVERAGEIFS(Races!$Q$2:$Q$226,Races!$D$2:$D$226,"Test")</f>
        <v>3.10751351560431</v>
      </c>
      <c r="E6" s="8" t="n">
        <f aca="false">(C6-B6)/B6</f>
        <v>-0.0558723377898311</v>
      </c>
      <c r="F6" s="4" t="s">
        <v>11</v>
      </c>
    </row>
    <row r="7" customFormat="false" ht="15" hidden="false" customHeight="false" outlineLevel="0" collapsed="false">
      <c r="A7" s="4" t="s">
        <v>12</v>
      </c>
      <c r="B7" s="8" t="n">
        <f aca="false">AVERAGEIFS(Races!$M$2:$M$226,Races!$D$2:$D$226,"Test")</f>
        <v>0.220338983050847</v>
      </c>
      <c r="C7" s="8" t="n">
        <f aca="false">AVERAGEIFS(Races!$N$2:$N$226,Races!$D$2:$D$226,"Test")</f>
        <v>0.220338983050847</v>
      </c>
      <c r="D7" s="8" t="n">
        <f aca="false">1/AVERAGEIFS(Races!$E$2:$E$226,Races!$D$2:$D$226,"Test")</f>
        <v>0.0446293494704992</v>
      </c>
      <c r="E7" s="6" t="n">
        <f aca="false">C7-B7</f>
        <v>0</v>
      </c>
      <c r="F7" s="4" t="s">
        <v>13</v>
      </c>
    </row>
    <row r="8" customFormat="false" ht="15" hidden="false" customHeight="false" outlineLevel="0" collapsed="false">
      <c r="A8" s="4" t="s">
        <v>14</v>
      </c>
      <c r="B8" s="8" t="n">
        <f aca="false">AVERAGEIFS(Races!$R$2:$R$226,Races!$D$2:$D$226,"Test")/3</f>
        <v>0.564971751412429</v>
      </c>
      <c r="C8" s="8" t="n">
        <f aca="false">AVERAGEIFS(Races!$S$2:$S$226,Races!$D$2:$D$226,"Test")/3</f>
        <v>0.581920903954802</v>
      </c>
      <c r="D8" s="8"/>
      <c r="E8" s="6" t="n">
        <f aca="false">C8-B8</f>
        <v>0.0169491525423728</v>
      </c>
      <c r="F8" s="4" t="s">
        <v>15</v>
      </c>
    </row>
    <row r="10" customFormat="false" ht="30" hidden="false" customHeight="true" outlineLevel="0" collapsed="false">
      <c r="A10" s="3" t="s">
        <v>16</v>
      </c>
      <c r="B10" s="3" t="s">
        <v>3</v>
      </c>
      <c r="C10" s="3" t="s">
        <v>4</v>
      </c>
      <c r="D10" s="3" t="s">
        <v>5</v>
      </c>
      <c r="E10" s="3" t="s">
        <v>17</v>
      </c>
      <c r="F10" s="3"/>
    </row>
    <row r="11" customFormat="false" ht="15" hidden="false" customHeight="false" outlineLevel="0" collapsed="false">
      <c r="A11" s="4" t="s">
        <v>18</v>
      </c>
      <c r="B11" s="5" t="n">
        <f aca="false">COUNTIFS(Races!$D$2:$D$226,"Train")</f>
        <v>166</v>
      </c>
      <c r="C11" s="5" t="n">
        <f aca="false">COUNTIFS(Races!$D$2:$D$226,"Train")</f>
        <v>166</v>
      </c>
      <c r="D11" s="5" t="n">
        <f aca="false">COUNTIFS(Races!$D$2:$D$226,"Train")</f>
        <v>166</v>
      </c>
      <c r="E11" s="6"/>
    </row>
    <row r="12" customFormat="false" ht="15" hidden="false" customHeight="false" outlineLevel="0" collapsed="false">
      <c r="A12" s="4" t="s">
        <v>10</v>
      </c>
      <c r="B12" s="7" t="n">
        <f aca="false">AVERAGEIFS(Races!$O$2:$O$226,Races!$D$2:$D$226,"Train")</f>
        <v>1.79592661216153</v>
      </c>
      <c r="C12" s="7" t="n">
        <f aca="false">AVERAGEIFS(Races!$P$2:$P$226,Races!$D$2:$D$226,"Train")</f>
        <v>1.63536907266071</v>
      </c>
      <c r="D12" s="7" t="n">
        <f aca="false">AVERAGEIFS(Races!$Q$2:$Q$226,Races!$D$2:$D$226,"Train")</f>
        <v>3.09172388959286</v>
      </c>
      <c r="E12" s="8" t="n">
        <f aca="false">(C12-B12)/B12</f>
        <v>-0.0894009467945776</v>
      </c>
    </row>
    <row r="13" customFormat="false" ht="15" hidden="false" customHeight="false" outlineLevel="0" collapsed="false">
      <c r="A13" s="4" t="s">
        <v>12</v>
      </c>
      <c r="B13" s="8" t="n">
        <f aca="false">AVERAGEIFS(Races!$M$2:$M$226,Races!$D$2:$D$226,"Train")</f>
        <v>0.518072289156627</v>
      </c>
      <c r="C13" s="8" t="n">
        <f aca="false">AVERAGEIFS(Races!$N$2:$N$226,Races!$D$2:$D$226,"Train")</f>
        <v>0.518072289156627</v>
      </c>
      <c r="D13" s="8"/>
      <c r="E13" s="6" t="n">
        <f aca="false">C13-B13</f>
        <v>0</v>
      </c>
    </row>
    <row r="14" customFormat="false" ht="15" hidden="false" customHeight="false" outlineLevel="0" collapsed="false">
      <c r="A14" s="4" t="s">
        <v>14</v>
      </c>
      <c r="B14" s="8" t="n">
        <f aca="false">AVERAGEIFS(Races!$R$2:$R$226,Races!$D$2:$D$226,"Train")/3</f>
        <v>0.608433734939759</v>
      </c>
      <c r="C14" s="8" t="n">
        <f aca="false">AVERAGEIFS(Races!$S$2:$S$226,Races!$D$2:$D$226,"Train")/3</f>
        <v>0.614457831325301</v>
      </c>
      <c r="D14" s="8"/>
      <c r="E14" s="6" t="n">
        <f aca="false">C14-B14</f>
        <v>0.00602409638554213</v>
      </c>
    </row>
    <row r="16" customFormat="false" ht="15" hidden="false" customHeight="false" outlineLevel="0" collapsed="false">
      <c r="A16" s="9" t="s">
        <v>19</v>
      </c>
    </row>
    <row r="17" customFormat="false" ht="26.85" hidden="false" customHeight="false" outlineLevel="0" collapsed="false">
      <c r="A17" s="3" t="s">
        <v>20</v>
      </c>
      <c r="B17" s="3" t="s">
        <v>21</v>
      </c>
      <c r="C17" s="3" t="s">
        <v>22</v>
      </c>
      <c r="D17" s="3"/>
      <c r="E17" s="3"/>
      <c r="F17" s="3" t="s">
        <v>23</v>
      </c>
    </row>
    <row r="18" customFormat="false" ht="15" hidden="false" customHeight="false" outlineLevel="0" collapsed="false">
      <c r="A18" s="4" t="s">
        <v>24</v>
      </c>
      <c r="B18" s="10" t="n">
        <v>0.3</v>
      </c>
      <c r="C18" s="10" t="n">
        <v>0.346</v>
      </c>
      <c r="F18" s="4" t="s">
        <v>25</v>
      </c>
    </row>
    <row r="19" customFormat="false" ht="15" hidden="false" customHeight="false" outlineLevel="0" collapsed="false">
      <c r="A19" s="4" t="s">
        <v>26</v>
      </c>
      <c r="B19" s="10" t="n">
        <v>1</v>
      </c>
      <c r="C19" s="10" t="n">
        <v>1.203</v>
      </c>
      <c r="F19" s="4" t="s">
        <v>27</v>
      </c>
    </row>
    <row r="20" customFormat="false" ht="15" hidden="false" customHeight="false" outlineLevel="0" collapsed="false">
      <c r="A20" s="4" t="s">
        <v>28</v>
      </c>
      <c r="B20" s="10" t="n">
        <v>0</v>
      </c>
      <c r="C20" s="10" t="n">
        <v>0.232</v>
      </c>
      <c r="F20" s="4" t="s">
        <v>29</v>
      </c>
    </row>
    <row r="22" customFormat="false" ht="60" hidden="false" customHeight="true" outlineLevel="0" collapsed="false">
      <c r="A22" s="11" t="s">
        <v>30</v>
      </c>
      <c r="B22" s="11"/>
      <c r="C22" s="11"/>
      <c r="D22" s="11"/>
      <c r="E22" s="11"/>
      <c r="F22" s="11"/>
    </row>
    <row r="24" customFormat="false" ht="15" hidden="false" customHeight="false" outlineLevel="0" collapsed="false">
      <c r="A24" s="9" t="s">
        <v>31</v>
      </c>
    </row>
    <row r="25" customFormat="false" ht="34.5" hidden="false" customHeight="true" outlineLevel="0" collapsed="false">
      <c r="A25" s="12" t="s">
        <v>32</v>
      </c>
      <c r="B25" s="12"/>
      <c r="C25" s="12"/>
      <c r="D25" s="12"/>
      <c r="E25" s="12"/>
      <c r="F25" s="12"/>
    </row>
    <row r="27" customFormat="false" ht="15" hidden="false" customHeight="false" outlineLevel="0" collapsed="false">
      <c r="A27" s="9" t="s">
        <v>33</v>
      </c>
    </row>
    <row r="28" customFormat="false" ht="30" hidden="false" customHeight="true" outlineLevel="0" collapsed="false">
      <c r="A28" s="12" t="str">
        <f aca="false">"Backtested on "&amp;(B5+B11)&amp;" races (2016–2026); win log-loss "&amp;TEXT(C6,"0.00")&amp;" vs "&amp;TEXT(D6,"0.00")&amp;" uniform baseline on held-out 2024–2026."</f>
        <v>Backtested on 225 races (2016–2026); win log-loss 1.96 vs 3.11 uniform baseline on held-out 2024–2026.</v>
      </c>
      <c r="B28" s="12"/>
      <c r="C28" s="12"/>
      <c r="D28" s="12"/>
      <c r="E28" s="12"/>
      <c r="F28" s="12"/>
    </row>
  </sheetData>
  <mergeCells count="4">
    <mergeCell ref="A2:F2"/>
    <mergeCell ref="A22:F22"/>
    <mergeCell ref="A25:F25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9" min="7" style="0" width="14"/>
  </cols>
  <sheetData>
    <row r="1" customFormat="false" ht="30" hidden="false" customHeight="true" outlineLevel="0" collapsed="false">
      <c r="A1" s="3" t="s">
        <v>34</v>
      </c>
      <c r="B1" s="3" t="s">
        <v>18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customFormat="false" ht="15" hidden="false" customHeight="false" outlineLevel="0" collapsed="false">
      <c r="A2" s="4" t="s">
        <v>42</v>
      </c>
      <c r="B2" s="5" t="n">
        <f aca="false">COUNTIFS(Races!$A$2:$A$226,VALUE(A2))</f>
        <v>21</v>
      </c>
      <c r="C2" s="7" t="n">
        <f aca="false">AVERAGEIFS(Races!$O$2:$O$226,Races!$A$2:$A$226,VALUE(A2))</f>
        <v>1.80193213127252</v>
      </c>
      <c r="D2" s="7" t="n">
        <f aca="false">AVERAGEIFS(Races!$P$2:$P$226,Races!$A$2:$A$226,VALUE(A2))</f>
        <v>1.63004140646111</v>
      </c>
      <c r="E2" s="8" t="n">
        <f aca="false">AVERAGEIFS(Races!$M$2:$M$226,Races!$A$2:$A$226,VALUE(A2))</f>
        <v>0.333333333333333</v>
      </c>
      <c r="F2" s="8" t="n">
        <f aca="false">AVERAGEIFS(Races!$N$2:$N$226,Races!$A$2:$A$226,VALUE(A2))</f>
        <v>0.333333333333333</v>
      </c>
      <c r="G2" s="8" t="n">
        <f aca="false">AVERAGEIFS(Races!$R$2:$R$226,Races!$A$2:$A$226,VALUE(A2))/3</f>
        <v>0.682539682539682</v>
      </c>
      <c r="H2" s="8" t="n">
        <f aca="false">AVERAGEIFS(Races!$S$2:$S$226,Races!$A$2:$A$226,VALUE(A2))/3</f>
        <v>0.698412698412699</v>
      </c>
      <c r="I2" s="13" t="n">
        <f aca="false">(D2-C2)/C2</f>
        <v>-0.095392452261794</v>
      </c>
    </row>
    <row r="3" customFormat="false" ht="15" hidden="false" customHeight="false" outlineLevel="0" collapsed="false">
      <c r="A3" s="4" t="s">
        <v>43</v>
      </c>
      <c r="B3" s="5" t="n">
        <f aca="false">COUNTIFS(Races!$A$2:$A$226,VALUE(A3))</f>
        <v>20</v>
      </c>
      <c r="C3" s="7" t="n">
        <f aca="false">AVERAGEIFS(Races!$O$2:$O$226,Races!$A$2:$A$226,VALUE(A3))</f>
        <v>2.0676922202562</v>
      </c>
      <c r="D3" s="7" t="n">
        <f aca="false">AVERAGEIFS(Races!$P$2:$P$226,Races!$A$2:$A$226,VALUE(A3))</f>
        <v>1.93631927193922</v>
      </c>
      <c r="E3" s="8" t="n">
        <f aca="false">AVERAGEIFS(Races!$M$2:$M$226,Races!$A$2:$A$226,VALUE(A3))</f>
        <v>0.4</v>
      </c>
      <c r="F3" s="8" t="n">
        <f aca="false">AVERAGEIFS(Races!$N$2:$N$226,Races!$A$2:$A$226,VALUE(A3))</f>
        <v>0.4</v>
      </c>
      <c r="G3" s="8" t="n">
        <f aca="false">AVERAGEIFS(Races!$R$2:$R$226,Races!$A$2:$A$226,VALUE(A3))/3</f>
        <v>0.6</v>
      </c>
      <c r="H3" s="8" t="n">
        <f aca="false">AVERAGEIFS(Races!$S$2:$S$226,Races!$A$2:$A$226,VALUE(A3))/3</f>
        <v>0.6</v>
      </c>
      <c r="I3" s="13" t="n">
        <f aca="false">(D3-C3)/C3</f>
        <v>-0.0635360267983682</v>
      </c>
    </row>
    <row r="4" customFormat="false" ht="15" hidden="false" customHeight="false" outlineLevel="0" collapsed="false">
      <c r="A4" s="4" t="s">
        <v>44</v>
      </c>
      <c r="B4" s="5" t="n">
        <f aca="false">COUNTIFS(Races!$A$2:$A$226,VALUE(A4))</f>
        <v>21</v>
      </c>
      <c r="C4" s="7" t="n">
        <f aca="false">AVERAGEIFS(Races!$O$2:$O$226,Races!$A$2:$A$226,VALUE(A4))</f>
        <v>1.89714731621596</v>
      </c>
      <c r="D4" s="7" t="n">
        <f aca="false">AVERAGEIFS(Races!$P$2:$P$226,Races!$A$2:$A$226,VALUE(A4))</f>
        <v>1.74452980356199</v>
      </c>
      <c r="E4" s="8" t="n">
        <f aca="false">AVERAGEIFS(Races!$M$2:$M$226,Races!$A$2:$A$226,VALUE(A4))</f>
        <v>0.523809523809524</v>
      </c>
      <c r="F4" s="8" t="n">
        <f aca="false">AVERAGEIFS(Races!$N$2:$N$226,Races!$A$2:$A$226,VALUE(A4))</f>
        <v>0.523809523809524</v>
      </c>
      <c r="G4" s="8" t="n">
        <f aca="false">AVERAGEIFS(Races!$R$2:$R$226,Races!$A$2:$A$226,VALUE(A4))/3</f>
        <v>0.571428571428571</v>
      </c>
      <c r="H4" s="8" t="n">
        <f aca="false">AVERAGEIFS(Races!$S$2:$S$226,Races!$A$2:$A$226,VALUE(A4))/3</f>
        <v>0.587301587301587</v>
      </c>
      <c r="I4" s="13" t="n">
        <f aca="false">(D4-C4)/C4</f>
        <v>-0.0804457889745616</v>
      </c>
    </row>
    <row r="5" customFormat="false" ht="15" hidden="false" customHeight="false" outlineLevel="0" collapsed="false">
      <c r="A5" s="4" t="s">
        <v>45</v>
      </c>
      <c r="B5" s="5" t="n">
        <f aca="false">COUNTIFS(Races!$A$2:$A$226,VALUE(A5))</f>
        <v>21</v>
      </c>
      <c r="C5" s="7" t="n">
        <f aca="false">AVERAGEIFS(Races!$O$2:$O$226,Races!$A$2:$A$226,VALUE(A5))</f>
        <v>1.70778320028797</v>
      </c>
      <c r="D5" s="7" t="n">
        <f aca="false">AVERAGEIFS(Races!$P$2:$P$226,Races!$A$2:$A$226,VALUE(A5))</f>
        <v>1.59796753912418</v>
      </c>
      <c r="E5" s="8" t="n">
        <f aca="false">AVERAGEIFS(Races!$M$2:$M$226,Races!$A$2:$A$226,VALUE(A5))</f>
        <v>0.523809523809524</v>
      </c>
      <c r="F5" s="8" t="n">
        <f aca="false">AVERAGEIFS(Races!$N$2:$N$226,Races!$A$2:$A$226,VALUE(A5))</f>
        <v>0.523809523809524</v>
      </c>
      <c r="G5" s="8" t="n">
        <f aca="false">AVERAGEIFS(Races!$R$2:$R$226,Races!$A$2:$A$226,VALUE(A5))/3</f>
        <v>0.666666666666667</v>
      </c>
      <c r="H5" s="8" t="n">
        <f aca="false">AVERAGEIFS(Races!$S$2:$S$226,Races!$A$2:$A$226,VALUE(A5))/3</f>
        <v>0.666666666666667</v>
      </c>
      <c r="I5" s="13" t="n">
        <f aca="false">(D5-C5)/C5</f>
        <v>-0.0643030456941331</v>
      </c>
    </row>
    <row r="6" customFormat="false" ht="15" hidden="false" customHeight="false" outlineLevel="0" collapsed="false">
      <c r="A6" s="4" t="s">
        <v>46</v>
      </c>
      <c r="B6" s="5" t="n">
        <f aca="false">COUNTIFS(Races!$A$2:$A$226,VALUE(A6))</f>
        <v>17</v>
      </c>
      <c r="C6" s="7" t="n">
        <f aca="false">AVERAGEIFS(Races!$O$2:$O$226,Races!$A$2:$A$226,VALUE(A6))</f>
        <v>1.75220808875</v>
      </c>
      <c r="D6" s="7" t="n">
        <f aca="false">AVERAGEIFS(Races!$P$2:$P$226,Races!$A$2:$A$226,VALUE(A6))</f>
        <v>1.58685673337125</v>
      </c>
      <c r="E6" s="8" t="n">
        <f aca="false">AVERAGEIFS(Races!$M$2:$M$226,Races!$A$2:$A$226,VALUE(A6))</f>
        <v>0.647058823529412</v>
      </c>
      <c r="F6" s="8" t="n">
        <f aca="false">AVERAGEIFS(Races!$N$2:$N$226,Races!$A$2:$A$226,VALUE(A6))</f>
        <v>0.647058823529412</v>
      </c>
      <c r="G6" s="8" t="n">
        <f aca="false">AVERAGEIFS(Races!$R$2:$R$226,Races!$A$2:$A$226,VALUE(A6))/3</f>
        <v>0.666666666666667</v>
      </c>
      <c r="H6" s="8" t="n">
        <f aca="false">AVERAGEIFS(Races!$S$2:$S$226,Races!$A$2:$A$226,VALUE(A6))/3</f>
        <v>0.666666666666667</v>
      </c>
      <c r="I6" s="13" t="n">
        <f aca="false">(D6-C6)/C6</f>
        <v>-0.0943674192810678</v>
      </c>
    </row>
    <row r="7" customFormat="false" ht="15" hidden="false" customHeight="false" outlineLevel="0" collapsed="false">
      <c r="A7" s="4" t="s">
        <v>47</v>
      </c>
      <c r="B7" s="5" t="n">
        <f aca="false">COUNTIFS(Races!$A$2:$A$226,VALUE(A7))</f>
        <v>22</v>
      </c>
      <c r="C7" s="7" t="n">
        <f aca="false">AVERAGEIFS(Races!$O$2:$O$226,Races!$A$2:$A$226,VALUE(A7))</f>
        <v>1.94809722808321</v>
      </c>
      <c r="D7" s="7" t="n">
        <f aca="false">AVERAGEIFS(Races!$P$2:$P$226,Races!$A$2:$A$226,VALUE(A7))</f>
        <v>1.81428250151002</v>
      </c>
      <c r="E7" s="8" t="n">
        <f aca="false">AVERAGEIFS(Races!$M$2:$M$226,Races!$A$2:$A$226,VALUE(A7))</f>
        <v>0.318181818181818</v>
      </c>
      <c r="F7" s="8" t="n">
        <f aca="false">AVERAGEIFS(Races!$N$2:$N$226,Races!$A$2:$A$226,VALUE(A7))</f>
        <v>0.318181818181818</v>
      </c>
      <c r="G7" s="8" t="n">
        <f aca="false">AVERAGEIFS(Races!$R$2:$R$226,Races!$A$2:$A$226,VALUE(A7))/3</f>
        <v>0.651515151515152</v>
      </c>
      <c r="H7" s="8" t="n">
        <f aca="false">AVERAGEIFS(Races!$S$2:$S$226,Races!$A$2:$A$226,VALUE(A7))/3</f>
        <v>0.651515151515152</v>
      </c>
      <c r="I7" s="13" t="n">
        <f aca="false">(D7-C7)/C7</f>
        <v>-0.0686899630286202</v>
      </c>
    </row>
    <row r="8" customFormat="false" ht="15" hidden="false" customHeight="false" outlineLevel="0" collapsed="false">
      <c r="A8" s="4" t="s">
        <v>48</v>
      </c>
      <c r="B8" s="5" t="n">
        <f aca="false">COUNTIFS(Races!$A$2:$A$226,VALUE(A8))</f>
        <v>22</v>
      </c>
      <c r="C8" s="7" t="n">
        <f aca="false">AVERAGEIFS(Races!$O$2:$O$226,Races!$A$2:$A$226,VALUE(A8))</f>
        <v>1.94930091738757</v>
      </c>
      <c r="D8" s="7" t="n">
        <f aca="false">AVERAGEIFS(Races!$P$2:$P$226,Races!$A$2:$A$226,VALUE(A8))</f>
        <v>1.7811672942164</v>
      </c>
      <c r="E8" s="8" t="n">
        <f aca="false">AVERAGEIFS(Races!$M$2:$M$226,Races!$A$2:$A$226,VALUE(A8))</f>
        <v>0.545454545454545</v>
      </c>
      <c r="F8" s="8" t="n">
        <f aca="false">AVERAGEIFS(Races!$N$2:$N$226,Races!$A$2:$A$226,VALUE(A8))</f>
        <v>0.545454545454545</v>
      </c>
      <c r="G8" s="8" t="n">
        <f aca="false">AVERAGEIFS(Races!$R$2:$R$226,Races!$A$2:$A$226,VALUE(A8))/3</f>
        <v>0.5</v>
      </c>
      <c r="H8" s="8" t="n">
        <f aca="false">AVERAGEIFS(Races!$S$2:$S$226,Races!$A$2:$A$226,VALUE(A8))/3</f>
        <v>0.515151515151515</v>
      </c>
      <c r="I8" s="13" t="n">
        <f aca="false">(D8-C8)/C8</f>
        <v>-0.0862532929992664</v>
      </c>
    </row>
    <row r="9" customFormat="false" ht="15" hidden="false" customHeight="false" outlineLevel="0" collapsed="false">
      <c r="A9" s="4" t="s">
        <v>49</v>
      </c>
      <c r="B9" s="5" t="n">
        <f aca="false">COUNTIFS(Races!$A$2:$A$226,VALUE(A9))</f>
        <v>22</v>
      </c>
      <c r="C9" s="7" t="n">
        <f aca="false">AVERAGEIFS(Races!$O$2:$O$226,Races!$A$2:$A$226,VALUE(A9))</f>
        <v>1.25888913187626</v>
      </c>
      <c r="D9" s="7" t="n">
        <f aca="false">AVERAGEIFS(Races!$P$2:$P$226,Races!$A$2:$A$226,VALUE(A9))</f>
        <v>1.01114122352311</v>
      </c>
      <c r="E9" s="8" t="n">
        <f aca="false">AVERAGEIFS(Races!$M$2:$M$226,Races!$A$2:$A$226,VALUE(A9))</f>
        <v>0.863636363636364</v>
      </c>
      <c r="F9" s="8" t="n">
        <f aca="false">AVERAGEIFS(Races!$N$2:$N$226,Races!$A$2:$A$226,VALUE(A9))</f>
        <v>0.863636363636364</v>
      </c>
      <c r="G9" s="8" t="n">
        <f aca="false">AVERAGEIFS(Races!$R$2:$R$226,Races!$A$2:$A$226,VALUE(A9))/3</f>
        <v>0.545454545454546</v>
      </c>
      <c r="H9" s="8" t="n">
        <f aca="false">AVERAGEIFS(Races!$S$2:$S$226,Races!$A$2:$A$226,VALUE(A9))/3</f>
        <v>0.545454545454546</v>
      </c>
      <c r="I9" s="13" t="n">
        <f aca="false">(D9-C9)/C9</f>
        <v>-0.196798830079584</v>
      </c>
    </row>
    <row r="10" customFormat="false" ht="15" hidden="false" customHeight="false" outlineLevel="0" collapsed="false">
      <c r="A10" s="4" t="s">
        <v>50</v>
      </c>
      <c r="B10" s="5" t="n">
        <f aca="false">COUNTIFS(Races!$A$2:$A$226,VALUE(A10))</f>
        <v>24</v>
      </c>
      <c r="C10" s="7" t="n">
        <f aca="false">AVERAGEIFS(Races!$O$2:$O$226,Races!$A$2:$A$226,VALUE(A10))</f>
        <v>2.1834634611426</v>
      </c>
      <c r="D10" s="7" t="n">
        <f aca="false">AVERAGEIFS(Races!$P$2:$P$226,Races!$A$2:$A$226,VALUE(A10))</f>
        <v>2.08667248899</v>
      </c>
      <c r="E10" s="8" t="n">
        <f aca="false">AVERAGEIFS(Races!$M$2:$M$226,Races!$A$2:$A$226,VALUE(A10))</f>
        <v>0.375</v>
      </c>
      <c r="F10" s="8" t="n">
        <f aca="false">AVERAGEIFS(Races!$N$2:$N$226,Races!$A$2:$A$226,VALUE(A10))</f>
        <v>0.375</v>
      </c>
      <c r="G10" s="8" t="n">
        <f aca="false">AVERAGEIFS(Races!$R$2:$R$226,Races!$A$2:$A$226,VALUE(A10))/3</f>
        <v>0.513888888888889</v>
      </c>
      <c r="H10" s="8" t="n">
        <f aca="false">AVERAGEIFS(Races!$S$2:$S$226,Races!$A$2:$A$226,VALUE(A10))/3</f>
        <v>0.541666666666667</v>
      </c>
      <c r="I10" s="13" t="n">
        <f aca="false">(D10-C10)/C10</f>
        <v>-0.0443291009330445</v>
      </c>
    </row>
    <row r="11" customFormat="false" ht="15" hidden="false" customHeight="false" outlineLevel="0" collapsed="false">
      <c r="A11" s="4" t="s">
        <v>51</v>
      </c>
      <c r="B11" s="5" t="n">
        <f aca="false">COUNTIFS(Races!$A$2:$A$226,VALUE(A11))</f>
        <v>24</v>
      </c>
      <c r="C11" s="7" t="n">
        <f aca="false">AVERAGEIFS(Races!$O$2:$O$226,Races!$A$2:$A$226,VALUE(A11))</f>
        <v>1.95566221316801</v>
      </c>
      <c r="D11" s="7" t="n">
        <f aca="false">AVERAGEIFS(Races!$P$2:$P$226,Races!$A$2:$A$226,VALUE(A11))</f>
        <v>1.81250422599317</v>
      </c>
      <c r="E11" s="8" t="n">
        <f aca="false">AVERAGEIFS(Races!$M$2:$M$226,Races!$A$2:$A$226,VALUE(A11))</f>
        <v>0.125</v>
      </c>
      <c r="F11" s="8" t="n">
        <f aca="false">AVERAGEIFS(Races!$N$2:$N$226,Races!$A$2:$A$226,VALUE(A11))</f>
        <v>0.125</v>
      </c>
      <c r="G11" s="8" t="n">
        <f aca="false">AVERAGEIFS(Races!$R$2:$R$226,Races!$A$2:$A$226,VALUE(A11))/3</f>
        <v>0.666666666666667</v>
      </c>
      <c r="H11" s="8" t="n">
        <f aca="false">AVERAGEIFS(Races!$S$2:$S$226,Races!$A$2:$A$226,VALUE(A11))/3</f>
        <v>0.680555555555556</v>
      </c>
      <c r="I11" s="13" t="n">
        <f aca="false">(D11-C11)/C11</f>
        <v>-0.0732017964098902</v>
      </c>
    </row>
    <row r="12" customFormat="false" ht="15" hidden="false" customHeight="false" outlineLevel="0" collapsed="false">
      <c r="A12" s="4" t="s">
        <v>52</v>
      </c>
      <c r="B12" s="5" t="n">
        <f aca="false">COUNTIFS(Races!$A$2:$A$226,VALUE(A12))</f>
        <v>11</v>
      </c>
      <c r="C12" s="7" t="n">
        <f aca="false">AVERAGEIFS(Races!$O$2:$O$226,Races!$A$2:$A$226,VALUE(A12))</f>
        <v>2.08235642741677</v>
      </c>
      <c r="D12" s="7" t="n">
        <f aca="false">AVERAGEIFS(Races!$P$2:$P$226,Races!$A$2:$A$226,VALUE(A12))</f>
        <v>1.98496230170052</v>
      </c>
      <c r="E12" s="8" t="n">
        <f aca="false">AVERAGEIFS(Races!$M$2:$M$226,Races!$A$2:$A$226,VALUE(A12))</f>
        <v>0.0909090909090909</v>
      </c>
      <c r="F12" s="8" t="n">
        <f aca="false">AVERAGEIFS(Races!$N$2:$N$226,Races!$A$2:$A$226,VALUE(A12))</f>
        <v>0.0909090909090909</v>
      </c>
      <c r="G12" s="8" t="n">
        <f aca="false">AVERAGEIFS(Races!$R$2:$R$226,Races!$A$2:$A$226,VALUE(A12))/3</f>
        <v>0.454545454545455</v>
      </c>
      <c r="H12" s="8" t="n">
        <f aca="false">AVERAGEIFS(Races!$S$2:$S$226,Races!$A$2:$A$226,VALUE(A12))/3</f>
        <v>0.454545454545455</v>
      </c>
      <c r="I12" s="13" t="n">
        <f aca="false">(D12-C12)/C12</f>
        <v>-0.0467711120123058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53</v>
      </c>
      <c r="B1" s="3" t="s">
        <v>54</v>
      </c>
      <c r="C1" s="3" t="s">
        <v>55</v>
      </c>
      <c r="D1" s="3" t="s">
        <v>56</v>
      </c>
      <c r="E1" s="3" t="s">
        <v>57</v>
      </c>
    </row>
    <row r="2" customFormat="false" ht="26.85" hidden="false" customHeight="false" outlineLevel="0" collapsed="false">
      <c r="A2" s="14" t="n">
        <v>1</v>
      </c>
      <c r="B2" s="14" t="s">
        <v>58</v>
      </c>
      <c r="C2" s="14" t="s">
        <v>59</v>
      </c>
      <c r="D2" s="14" t="s">
        <v>60</v>
      </c>
      <c r="E2" s="14" t="s">
        <v>61</v>
      </c>
    </row>
    <row r="3" customFormat="false" ht="26.85" hidden="false" customHeight="false" outlineLevel="0" collapsed="false">
      <c r="A3" s="14" t="n">
        <v>2</v>
      </c>
      <c r="B3" s="14" t="s">
        <v>62</v>
      </c>
      <c r="C3" s="14" t="s">
        <v>63</v>
      </c>
      <c r="D3" s="14" t="s">
        <v>60</v>
      </c>
      <c r="E3" s="14" t="s">
        <v>61</v>
      </c>
    </row>
    <row r="4" customFormat="false" ht="26.85" hidden="false" customHeight="false" outlineLevel="0" collapsed="false">
      <c r="A4" s="14" t="n">
        <v>3</v>
      </c>
      <c r="B4" s="14" t="s">
        <v>64</v>
      </c>
      <c r="C4" s="14" t="s">
        <v>65</v>
      </c>
      <c r="D4" s="14" t="s">
        <v>66</v>
      </c>
      <c r="E4" s="14" t="s">
        <v>67</v>
      </c>
    </row>
    <row r="5" customFormat="false" ht="15" hidden="false" customHeight="false" outlineLevel="0" collapsed="false">
      <c r="A5" s="14" t="n">
        <v>4</v>
      </c>
      <c r="B5" s="14" t="s">
        <v>68</v>
      </c>
      <c r="C5" s="14" t="s">
        <v>69</v>
      </c>
      <c r="D5" s="14" t="s">
        <v>70</v>
      </c>
      <c r="E5" s="14" t="s">
        <v>67</v>
      </c>
    </row>
    <row r="6" customFormat="false" ht="26.85" hidden="false" customHeight="false" outlineLevel="0" collapsed="false">
      <c r="A6" s="14" t="n">
        <v>5</v>
      </c>
      <c r="B6" s="14" t="s">
        <v>71</v>
      </c>
      <c r="C6" s="14" t="s">
        <v>72</v>
      </c>
      <c r="D6" s="14" t="s">
        <v>73</v>
      </c>
      <c r="E6" s="14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5" min="4" style="0" width="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0"/>
    <col collapsed="false" customWidth="true" hidden="false" outlineLevel="0" max="14" min="13" style="0" width="8"/>
    <col collapsed="false" customWidth="true" hidden="false" outlineLevel="0" max="17" min="15" style="0" width="10"/>
    <col collapsed="false" customWidth="true" hidden="false" outlineLevel="0" max="19" min="18" style="0" width="12"/>
  </cols>
  <sheetData>
    <row r="1" customFormat="false" ht="45" hidden="false" customHeight="true" outlineLevel="0" collapsed="false">
      <c r="A1" s="3" t="s">
        <v>34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s="3" t="s">
        <v>90</v>
      </c>
      <c r="S1" s="3" t="s">
        <v>91</v>
      </c>
    </row>
    <row r="2" customFormat="false" ht="15" hidden="false" customHeight="false" outlineLevel="0" collapsed="false">
      <c r="A2" s="4" t="n">
        <v>2016</v>
      </c>
      <c r="B2" s="4" t="n">
        <v>1</v>
      </c>
      <c r="C2" s="4" t="s">
        <v>92</v>
      </c>
      <c r="D2" s="4" t="s">
        <v>93</v>
      </c>
      <c r="E2" s="4" t="n">
        <v>24</v>
      </c>
      <c r="F2" s="4" t="s">
        <v>94</v>
      </c>
      <c r="G2" s="8" t="n">
        <v>0.1155</v>
      </c>
      <c r="H2" s="4" t="s">
        <v>94</v>
      </c>
      <c r="I2" s="8" t="n">
        <v>0.1354</v>
      </c>
      <c r="J2" s="4" t="s">
        <v>95</v>
      </c>
      <c r="K2" s="8" t="n">
        <v>0.1101</v>
      </c>
      <c r="L2" s="8" t="n">
        <v>0.1268</v>
      </c>
      <c r="M2" s="4" t="n">
        <f aca="false">IF(F2=J2,1,0)</f>
        <v>0</v>
      </c>
      <c r="N2" s="4" t="n">
        <f aca="false">IF(H2=J2,1,0)</f>
        <v>0</v>
      </c>
      <c r="O2" s="7" t="n">
        <f aca="false">-LN(K2)</f>
        <v>2.2063662352535</v>
      </c>
      <c r="P2" s="7" t="n">
        <f aca="false">-LN(L2)</f>
        <v>2.06514423697901</v>
      </c>
      <c r="Q2" s="7" t="n">
        <f aca="false">LN(E2)</f>
        <v>3.17805383034795</v>
      </c>
      <c r="R2" s="4" t="n">
        <v>3</v>
      </c>
      <c r="S2" s="4" t="n">
        <v>3</v>
      </c>
    </row>
    <row r="3" customFormat="false" ht="15" hidden="false" customHeight="false" outlineLevel="0" collapsed="false">
      <c r="A3" s="4" t="n">
        <v>2016</v>
      </c>
      <c r="B3" s="4" t="n">
        <v>2</v>
      </c>
      <c r="C3" s="4" t="s">
        <v>96</v>
      </c>
      <c r="D3" s="4" t="s">
        <v>93</v>
      </c>
      <c r="E3" s="4" t="n">
        <v>24</v>
      </c>
      <c r="F3" s="4" t="s">
        <v>95</v>
      </c>
      <c r="G3" s="8" t="n">
        <v>0.1822</v>
      </c>
      <c r="H3" s="4" t="s">
        <v>95</v>
      </c>
      <c r="I3" s="8" t="n">
        <v>0.2362</v>
      </c>
      <c r="J3" s="4" t="s">
        <v>95</v>
      </c>
      <c r="K3" s="8" t="n">
        <v>0.1822</v>
      </c>
      <c r="L3" s="8" t="n">
        <v>0.2362</v>
      </c>
      <c r="M3" s="4" t="n">
        <f aca="false">IF(F3=J3,1,0)</f>
        <v>1</v>
      </c>
      <c r="N3" s="4" t="n">
        <f aca="false">IF(H3=J3,1,0)</f>
        <v>1</v>
      </c>
      <c r="O3" s="7" t="n">
        <f aca="false">-LN(K3)</f>
        <v>1.70265029415628</v>
      </c>
      <c r="P3" s="7" t="n">
        <f aca="false">-LN(L3)</f>
        <v>1.44307637521888</v>
      </c>
      <c r="Q3" s="7" t="n">
        <f aca="false">LN(E3)</f>
        <v>3.17805383034795</v>
      </c>
      <c r="R3" s="4" t="n">
        <v>2</v>
      </c>
      <c r="S3" s="4" t="n">
        <v>2</v>
      </c>
    </row>
    <row r="4" customFormat="false" ht="15" hidden="false" customHeight="false" outlineLevel="0" collapsed="false">
      <c r="A4" s="4" t="n">
        <v>2016</v>
      </c>
      <c r="B4" s="4" t="n">
        <v>3</v>
      </c>
      <c r="C4" s="4" t="s">
        <v>97</v>
      </c>
      <c r="D4" s="4" t="s">
        <v>93</v>
      </c>
      <c r="E4" s="4" t="n">
        <v>24</v>
      </c>
      <c r="F4" s="4" t="s">
        <v>95</v>
      </c>
      <c r="G4" s="8" t="n">
        <v>0.2284</v>
      </c>
      <c r="H4" s="4" t="s">
        <v>95</v>
      </c>
      <c r="I4" s="8" t="n">
        <v>0.2938</v>
      </c>
      <c r="J4" s="4" t="s">
        <v>95</v>
      </c>
      <c r="K4" s="8" t="n">
        <v>0.2284</v>
      </c>
      <c r="L4" s="8" t="n">
        <v>0.2938</v>
      </c>
      <c r="M4" s="4" t="n">
        <f aca="false">IF(F4=J4,1,0)</f>
        <v>1</v>
      </c>
      <c r="N4" s="4" t="n">
        <f aca="false">IF(H4=J4,1,0)</f>
        <v>1</v>
      </c>
      <c r="O4" s="7" t="n">
        <f aca="false">-LN(K4)</f>
        <v>1.47665680120028</v>
      </c>
      <c r="P4" s="7" t="n">
        <f aca="false">-LN(L4)</f>
        <v>1.22485601524236</v>
      </c>
      <c r="Q4" s="7" t="n">
        <f aca="false">LN(E4)</f>
        <v>3.17805383034795</v>
      </c>
      <c r="R4" s="4" t="n">
        <v>2</v>
      </c>
      <c r="S4" s="4" t="n">
        <v>2</v>
      </c>
    </row>
    <row r="5" customFormat="false" ht="15" hidden="false" customHeight="false" outlineLevel="0" collapsed="false">
      <c r="A5" s="4" t="n">
        <v>2016</v>
      </c>
      <c r="B5" s="4" t="n">
        <v>4</v>
      </c>
      <c r="C5" s="4" t="s">
        <v>98</v>
      </c>
      <c r="D5" s="4" t="s">
        <v>93</v>
      </c>
      <c r="E5" s="4" t="n">
        <v>24</v>
      </c>
      <c r="F5" s="4" t="s">
        <v>95</v>
      </c>
      <c r="G5" s="8" t="n">
        <v>0.2482</v>
      </c>
      <c r="H5" s="4" t="s">
        <v>95</v>
      </c>
      <c r="I5" s="8" t="n">
        <v>0.3209</v>
      </c>
      <c r="J5" s="4" t="s">
        <v>95</v>
      </c>
      <c r="K5" s="8" t="n">
        <v>0.2482</v>
      </c>
      <c r="L5" s="8" t="n">
        <v>0.3209</v>
      </c>
      <c r="M5" s="4" t="n">
        <f aca="false">IF(F5=J5,1,0)</f>
        <v>1</v>
      </c>
      <c r="N5" s="4" t="n">
        <f aca="false">IF(H5=J5,1,0)</f>
        <v>1</v>
      </c>
      <c r="O5" s="7" t="n">
        <f aca="false">-LN(K5)</f>
        <v>1.39352040621163</v>
      </c>
      <c r="P5" s="7" t="n">
        <f aca="false">-LN(L5)</f>
        <v>1.13662573086633</v>
      </c>
      <c r="Q5" s="7" t="n">
        <f aca="false">LN(E5)</f>
        <v>3.17805383034795</v>
      </c>
      <c r="R5" s="4" t="n">
        <v>2</v>
      </c>
      <c r="S5" s="4" t="n">
        <v>2</v>
      </c>
    </row>
    <row r="6" customFormat="false" ht="15" hidden="false" customHeight="false" outlineLevel="0" collapsed="false">
      <c r="A6" s="4" t="n">
        <v>2016</v>
      </c>
      <c r="B6" s="4" t="n">
        <v>5</v>
      </c>
      <c r="C6" s="4" t="s">
        <v>99</v>
      </c>
      <c r="D6" s="4" t="s">
        <v>93</v>
      </c>
      <c r="E6" s="4" t="n">
        <v>24</v>
      </c>
      <c r="F6" s="4" t="s">
        <v>95</v>
      </c>
      <c r="G6" s="8" t="n">
        <v>0.267</v>
      </c>
      <c r="H6" s="4" t="s">
        <v>95</v>
      </c>
      <c r="I6" s="8" t="n">
        <v>0.3499</v>
      </c>
      <c r="J6" s="4" t="s">
        <v>100</v>
      </c>
      <c r="K6" s="8" t="n">
        <v>0.0356</v>
      </c>
      <c r="L6" s="8" t="n">
        <v>0.0276</v>
      </c>
      <c r="M6" s="4" t="n">
        <f aca="false">IF(F6=J6,1,0)</f>
        <v>0</v>
      </c>
      <c r="N6" s="4" t="n">
        <f aca="false">IF(H6=J6,1,0)</f>
        <v>0</v>
      </c>
      <c r="O6" s="7" t="n">
        <f aca="false">-LN(K6)</f>
        <v>3.33540964112415</v>
      </c>
      <c r="P6" s="7" t="n">
        <f aca="false">-LN(L6)</f>
        <v>3.58993950625903</v>
      </c>
      <c r="Q6" s="7" t="n">
        <f aca="false">LN(E6)</f>
        <v>3.17805383034795</v>
      </c>
      <c r="R6" s="4" t="n">
        <v>1</v>
      </c>
      <c r="S6" s="4" t="n">
        <v>1</v>
      </c>
    </row>
    <row r="7" customFormat="false" ht="15" hidden="false" customHeight="false" outlineLevel="0" collapsed="false">
      <c r="A7" s="4" t="n">
        <v>2016</v>
      </c>
      <c r="B7" s="4" t="n">
        <v>6</v>
      </c>
      <c r="C7" s="4" t="s">
        <v>101</v>
      </c>
      <c r="D7" s="4" t="s">
        <v>93</v>
      </c>
      <c r="E7" s="4" t="n">
        <v>24</v>
      </c>
      <c r="F7" s="4" t="s">
        <v>95</v>
      </c>
      <c r="G7" s="8" t="n">
        <v>0.2175</v>
      </c>
      <c r="H7" s="4" t="s">
        <v>95</v>
      </c>
      <c r="I7" s="8" t="n">
        <v>0.2736</v>
      </c>
      <c r="J7" s="4" t="s">
        <v>94</v>
      </c>
      <c r="K7" s="8" t="n">
        <v>0.1649</v>
      </c>
      <c r="L7" s="8" t="n">
        <v>0.1863</v>
      </c>
      <c r="M7" s="4" t="n">
        <f aca="false">IF(F7=J7,1,0)</f>
        <v>0</v>
      </c>
      <c r="N7" s="4" t="n">
        <f aca="false">IF(H7=J7,1,0)</f>
        <v>0</v>
      </c>
      <c r="O7" s="7" t="n">
        <f aca="false">-LN(K7)</f>
        <v>1.80241604941658</v>
      </c>
      <c r="P7" s="7" t="n">
        <f aca="false">-LN(L7)</f>
        <v>1.68039700137459</v>
      </c>
      <c r="Q7" s="7" t="n">
        <f aca="false">LN(E7)</f>
        <v>3.17805383034795</v>
      </c>
      <c r="R7" s="4" t="n">
        <v>1</v>
      </c>
      <c r="S7" s="4" t="n">
        <v>1</v>
      </c>
    </row>
    <row r="8" customFormat="false" ht="15" hidden="false" customHeight="false" outlineLevel="0" collapsed="false">
      <c r="A8" s="4" t="n">
        <v>2016</v>
      </c>
      <c r="B8" s="4" t="n">
        <v>7</v>
      </c>
      <c r="C8" s="4" t="s">
        <v>102</v>
      </c>
      <c r="D8" s="4" t="s">
        <v>93</v>
      </c>
      <c r="E8" s="4" t="n">
        <v>24</v>
      </c>
      <c r="F8" s="4" t="s">
        <v>95</v>
      </c>
      <c r="G8" s="8" t="n">
        <v>0.1933</v>
      </c>
      <c r="H8" s="4" t="s">
        <v>95</v>
      </c>
      <c r="I8" s="8" t="n">
        <v>0.2411</v>
      </c>
      <c r="J8" s="4" t="s">
        <v>94</v>
      </c>
      <c r="K8" s="8" t="n">
        <v>0.1693</v>
      </c>
      <c r="L8" s="8" t="n">
        <v>0.2008</v>
      </c>
      <c r="M8" s="4" t="n">
        <f aca="false">IF(F8=J8,1,0)</f>
        <v>0</v>
      </c>
      <c r="N8" s="4" t="n">
        <f aca="false">IF(H8=J8,1,0)</f>
        <v>0</v>
      </c>
      <c r="O8" s="7" t="n">
        <f aca="false">-LN(K8)</f>
        <v>1.77608298984305</v>
      </c>
      <c r="P8" s="7" t="n">
        <f aca="false">-LN(L8)</f>
        <v>1.60544589116456</v>
      </c>
      <c r="Q8" s="7" t="n">
        <f aca="false">LN(E8)</f>
        <v>3.17805383034795</v>
      </c>
      <c r="R8" s="4" t="n">
        <v>2</v>
      </c>
      <c r="S8" s="4" t="n">
        <v>2</v>
      </c>
    </row>
    <row r="9" customFormat="false" ht="15" hidden="false" customHeight="false" outlineLevel="0" collapsed="false">
      <c r="A9" s="4" t="n">
        <v>2016</v>
      </c>
      <c r="B9" s="4" t="n">
        <v>8</v>
      </c>
      <c r="C9" s="4" t="s">
        <v>103</v>
      </c>
      <c r="D9" s="4" t="s">
        <v>93</v>
      </c>
      <c r="E9" s="4" t="n">
        <v>24</v>
      </c>
      <c r="F9" s="4" t="s">
        <v>95</v>
      </c>
      <c r="G9" s="8" t="n">
        <v>0.1794</v>
      </c>
      <c r="H9" s="4" t="s">
        <v>95</v>
      </c>
      <c r="I9" s="8" t="n">
        <v>0.2207</v>
      </c>
      <c r="J9" s="4" t="s">
        <v>95</v>
      </c>
      <c r="K9" s="8" t="n">
        <v>0.1794</v>
      </c>
      <c r="L9" s="8" t="n">
        <v>0.2207</v>
      </c>
      <c r="M9" s="4" t="n">
        <f aca="false">IF(F9=J9,1,0)</f>
        <v>1</v>
      </c>
      <c r="N9" s="4" t="n">
        <f aca="false">IF(H9=J9,1,0)</f>
        <v>1</v>
      </c>
      <c r="O9" s="7" t="n">
        <f aca="false">-LN(K9)</f>
        <v>1.71813732935744</v>
      </c>
      <c r="P9" s="7" t="n">
        <f aca="false">-LN(L9)</f>
        <v>1.51095096571945</v>
      </c>
      <c r="Q9" s="7" t="n">
        <f aca="false">LN(E9)</f>
        <v>3.17805383034795</v>
      </c>
      <c r="R9" s="4" t="n">
        <v>2</v>
      </c>
      <c r="S9" s="4" t="n">
        <v>2</v>
      </c>
    </row>
    <row r="10" customFormat="false" ht="15" hidden="false" customHeight="false" outlineLevel="0" collapsed="false">
      <c r="A10" s="4" t="n">
        <v>2016</v>
      </c>
      <c r="B10" s="4" t="n">
        <v>9</v>
      </c>
      <c r="C10" s="4" t="s">
        <v>104</v>
      </c>
      <c r="D10" s="4" t="s">
        <v>93</v>
      </c>
      <c r="E10" s="4" t="n">
        <v>24</v>
      </c>
      <c r="F10" s="4" t="s">
        <v>95</v>
      </c>
      <c r="G10" s="8" t="n">
        <v>0.1892</v>
      </c>
      <c r="H10" s="4" t="s">
        <v>95</v>
      </c>
      <c r="I10" s="8" t="n">
        <v>0.2383</v>
      </c>
      <c r="J10" s="4" t="s">
        <v>94</v>
      </c>
      <c r="K10" s="8" t="n">
        <v>0.1653</v>
      </c>
      <c r="L10" s="8" t="n">
        <v>0.1977</v>
      </c>
      <c r="M10" s="4" t="n">
        <f aca="false">IF(F10=J10,1,0)</f>
        <v>0</v>
      </c>
      <c r="N10" s="4" t="n">
        <f aca="false">IF(H10=J10,1,0)</f>
        <v>0</v>
      </c>
      <c r="O10" s="7" t="n">
        <f aca="false">-LN(K10)</f>
        <v>1.79999327415516</v>
      </c>
      <c r="P10" s="7" t="n">
        <f aca="false">-LN(L10)</f>
        <v>1.62100454880557</v>
      </c>
      <c r="Q10" s="7" t="n">
        <f aca="false">LN(E10)</f>
        <v>3.17805383034795</v>
      </c>
      <c r="R10" s="4" t="n">
        <v>1</v>
      </c>
      <c r="S10" s="4" t="n">
        <v>1</v>
      </c>
    </row>
    <row r="11" customFormat="false" ht="15" hidden="false" customHeight="false" outlineLevel="0" collapsed="false">
      <c r="A11" s="4" t="n">
        <v>2016</v>
      </c>
      <c r="B11" s="4" t="n">
        <v>10</v>
      </c>
      <c r="C11" s="4" t="s">
        <v>105</v>
      </c>
      <c r="D11" s="4" t="s">
        <v>93</v>
      </c>
      <c r="E11" s="4" t="n">
        <v>24</v>
      </c>
      <c r="F11" s="4" t="s">
        <v>95</v>
      </c>
      <c r="G11" s="8" t="n">
        <v>0.1845</v>
      </c>
      <c r="H11" s="4" t="s">
        <v>95</v>
      </c>
      <c r="I11" s="8" t="n">
        <v>0.231</v>
      </c>
      <c r="J11" s="4" t="s">
        <v>94</v>
      </c>
      <c r="K11" s="8" t="n">
        <v>0.1775</v>
      </c>
      <c r="L11" s="8" t="n">
        <v>0.2188</v>
      </c>
      <c r="M11" s="4" t="n">
        <f aca="false">IF(F11=J11,1,0)</f>
        <v>0</v>
      </c>
      <c r="N11" s="4" t="n">
        <f aca="false">IF(H11=J11,1,0)</f>
        <v>0</v>
      </c>
      <c r="O11" s="7" t="n">
        <f aca="false">-LN(K11)</f>
        <v>1.72878467006667</v>
      </c>
      <c r="P11" s="7" t="n">
        <f aca="false">-LN(L11)</f>
        <v>1.51959720843431</v>
      </c>
      <c r="Q11" s="7" t="n">
        <f aca="false">LN(E11)</f>
        <v>3.17805383034795</v>
      </c>
      <c r="R11" s="4" t="n">
        <v>2</v>
      </c>
      <c r="S11" s="4" t="n">
        <v>2</v>
      </c>
    </row>
    <row r="12" customFormat="false" ht="15" hidden="false" customHeight="false" outlineLevel="0" collapsed="false">
      <c r="A12" s="4" t="n">
        <v>2016</v>
      </c>
      <c r="B12" s="4" t="n">
        <v>11</v>
      </c>
      <c r="C12" s="4" t="s">
        <v>106</v>
      </c>
      <c r="D12" s="4" t="s">
        <v>93</v>
      </c>
      <c r="E12" s="4" t="n">
        <v>24</v>
      </c>
      <c r="F12" s="4" t="s">
        <v>94</v>
      </c>
      <c r="G12" s="8" t="n">
        <v>0.1889</v>
      </c>
      <c r="H12" s="4" t="s">
        <v>94</v>
      </c>
      <c r="I12" s="8" t="n">
        <v>0.2376</v>
      </c>
      <c r="J12" s="4" t="s">
        <v>94</v>
      </c>
      <c r="K12" s="8" t="n">
        <v>0.1889</v>
      </c>
      <c r="L12" s="8" t="n">
        <v>0.2376</v>
      </c>
      <c r="M12" s="4" t="n">
        <f aca="false">IF(F12=J12,1,0)</f>
        <v>1</v>
      </c>
      <c r="N12" s="4" t="n">
        <f aca="false">IF(H12=J12,1,0)</f>
        <v>1</v>
      </c>
      <c r="O12" s="7" t="n">
        <f aca="false">-LN(K12)</f>
        <v>1.66653750447467</v>
      </c>
      <c r="P12" s="7" t="n">
        <f aca="false">-LN(L12)</f>
        <v>1.43716669149365</v>
      </c>
      <c r="Q12" s="7" t="n">
        <f aca="false">LN(E12)</f>
        <v>3.17805383034795</v>
      </c>
      <c r="R12" s="4" t="n">
        <v>2</v>
      </c>
      <c r="S12" s="4" t="n">
        <v>2</v>
      </c>
    </row>
    <row r="13" customFormat="false" ht="15" hidden="false" customHeight="false" outlineLevel="0" collapsed="false">
      <c r="A13" s="4" t="n">
        <v>2016</v>
      </c>
      <c r="B13" s="4" t="n">
        <v>12</v>
      </c>
      <c r="C13" s="4" t="s">
        <v>107</v>
      </c>
      <c r="D13" s="4" t="s">
        <v>93</v>
      </c>
      <c r="E13" s="4" t="n">
        <v>24</v>
      </c>
      <c r="F13" s="4" t="s">
        <v>94</v>
      </c>
      <c r="G13" s="8" t="n">
        <v>0.2001</v>
      </c>
      <c r="H13" s="4" t="s">
        <v>94</v>
      </c>
      <c r="I13" s="8" t="n">
        <v>0.2557</v>
      </c>
      <c r="J13" s="4" t="s">
        <v>94</v>
      </c>
      <c r="K13" s="8" t="n">
        <v>0.2001</v>
      </c>
      <c r="L13" s="8" t="n">
        <v>0.2557</v>
      </c>
      <c r="M13" s="4" t="n">
        <f aca="false">IF(F13=J13,1,0)</f>
        <v>1</v>
      </c>
      <c r="N13" s="4" t="n">
        <f aca="false">IF(H13=J13,1,0)</f>
        <v>1</v>
      </c>
      <c r="O13" s="7" t="n">
        <f aca="false">-LN(K13)</f>
        <v>1.60893803739245</v>
      </c>
      <c r="P13" s="7" t="n">
        <f aca="false">-LN(L13)</f>
        <v>1.363750396685</v>
      </c>
      <c r="Q13" s="7" t="n">
        <f aca="false">LN(E13)</f>
        <v>3.17805383034795</v>
      </c>
      <c r="R13" s="4" t="n">
        <v>1</v>
      </c>
      <c r="S13" s="4" t="n">
        <v>2</v>
      </c>
    </row>
    <row r="14" customFormat="false" ht="15" hidden="false" customHeight="false" outlineLevel="0" collapsed="false">
      <c r="A14" s="4" t="n">
        <v>2016</v>
      </c>
      <c r="B14" s="4" t="n">
        <v>13</v>
      </c>
      <c r="C14" s="4" t="s">
        <v>108</v>
      </c>
      <c r="D14" s="4" t="s">
        <v>93</v>
      </c>
      <c r="E14" s="4" t="n">
        <v>24</v>
      </c>
      <c r="F14" s="4" t="s">
        <v>94</v>
      </c>
      <c r="G14" s="8" t="n">
        <v>0.213</v>
      </c>
      <c r="H14" s="4" t="s">
        <v>94</v>
      </c>
      <c r="I14" s="8" t="n">
        <v>0.275</v>
      </c>
      <c r="J14" s="4" t="s">
        <v>95</v>
      </c>
      <c r="K14" s="8" t="n">
        <v>0.1782</v>
      </c>
      <c r="L14" s="8" t="n">
        <v>0.2147</v>
      </c>
      <c r="M14" s="4" t="n">
        <f aca="false">IF(F14=J14,1,0)</f>
        <v>0</v>
      </c>
      <c r="N14" s="4" t="n">
        <f aca="false">IF(H14=J14,1,0)</f>
        <v>0</v>
      </c>
      <c r="O14" s="7" t="n">
        <f aca="false">-LN(K14)</f>
        <v>1.72484876394543</v>
      </c>
      <c r="P14" s="7" t="n">
        <f aca="false">-LN(L14)</f>
        <v>1.5385135740974</v>
      </c>
      <c r="Q14" s="7" t="n">
        <f aca="false">LN(E14)</f>
        <v>3.17805383034795</v>
      </c>
      <c r="R14" s="4" t="n">
        <v>3</v>
      </c>
      <c r="S14" s="4" t="n">
        <v>3</v>
      </c>
    </row>
    <row r="15" customFormat="false" ht="15" hidden="false" customHeight="false" outlineLevel="0" collapsed="false">
      <c r="A15" s="4" t="n">
        <v>2016</v>
      </c>
      <c r="B15" s="4" t="n">
        <v>14</v>
      </c>
      <c r="C15" s="4" t="s">
        <v>109</v>
      </c>
      <c r="D15" s="4" t="s">
        <v>93</v>
      </c>
      <c r="E15" s="4" t="n">
        <v>24</v>
      </c>
      <c r="F15" s="4" t="s">
        <v>94</v>
      </c>
      <c r="G15" s="8" t="n">
        <v>0.2105</v>
      </c>
      <c r="H15" s="4" t="s">
        <v>94</v>
      </c>
      <c r="I15" s="8" t="n">
        <v>0.269</v>
      </c>
      <c r="J15" s="4" t="s">
        <v>95</v>
      </c>
      <c r="K15" s="8" t="n">
        <v>0.1899</v>
      </c>
      <c r="L15" s="8" t="n">
        <v>0.2331</v>
      </c>
      <c r="M15" s="4" t="n">
        <f aca="false">IF(F15=J15,1,0)</f>
        <v>0</v>
      </c>
      <c r="N15" s="4" t="n">
        <f aca="false">IF(H15=J15,1,0)</f>
        <v>0</v>
      </c>
      <c r="O15" s="7" t="n">
        <f aca="false">-LN(K15)</f>
        <v>1.6612576611639</v>
      </c>
      <c r="P15" s="7" t="n">
        <f aca="false">-LN(L15)</f>
        <v>1.45628773294043</v>
      </c>
      <c r="Q15" s="7" t="n">
        <f aca="false">LN(E15)</f>
        <v>3.17805383034795</v>
      </c>
      <c r="R15" s="4" t="n">
        <v>2</v>
      </c>
      <c r="S15" s="4" t="n">
        <v>2</v>
      </c>
    </row>
    <row r="16" customFormat="false" ht="15" hidden="false" customHeight="false" outlineLevel="0" collapsed="false">
      <c r="A16" s="4" t="n">
        <v>2016</v>
      </c>
      <c r="B16" s="4" t="n">
        <v>15</v>
      </c>
      <c r="C16" s="4" t="s">
        <v>110</v>
      </c>
      <c r="D16" s="4" t="s">
        <v>93</v>
      </c>
      <c r="E16" s="4" t="n">
        <v>24</v>
      </c>
      <c r="F16" s="4" t="s">
        <v>94</v>
      </c>
      <c r="G16" s="8" t="n">
        <v>0.2103</v>
      </c>
      <c r="H16" s="4" t="s">
        <v>94</v>
      </c>
      <c r="I16" s="8" t="n">
        <v>0.2663</v>
      </c>
      <c r="J16" s="4" t="s">
        <v>95</v>
      </c>
      <c r="K16" s="8" t="n">
        <v>0.1998</v>
      </c>
      <c r="L16" s="8" t="n">
        <v>0.2482</v>
      </c>
      <c r="M16" s="4" t="n">
        <f aca="false">IF(F16=J16,1,0)</f>
        <v>0</v>
      </c>
      <c r="N16" s="4" t="n">
        <f aca="false">IF(H16=J16,1,0)</f>
        <v>0</v>
      </c>
      <c r="O16" s="7" t="n">
        <f aca="false">-LN(K16)</f>
        <v>1.61043841276768</v>
      </c>
      <c r="P16" s="7" t="n">
        <f aca="false">-LN(L16)</f>
        <v>1.39352040621163</v>
      </c>
      <c r="Q16" s="7" t="n">
        <f aca="false">LN(E16)</f>
        <v>3.17805383034795</v>
      </c>
      <c r="R16" s="4" t="n">
        <v>3</v>
      </c>
      <c r="S16" s="4" t="n">
        <v>3</v>
      </c>
    </row>
    <row r="17" customFormat="false" ht="15" hidden="false" customHeight="false" outlineLevel="0" collapsed="false">
      <c r="A17" s="4" t="n">
        <v>2016</v>
      </c>
      <c r="B17" s="4" t="n">
        <v>16</v>
      </c>
      <c r="C17" s="4" t="s">
        <v>111</v>
      </c>
      <c r="D17" s="4" t="s">
        <v>93</v>
      </c>
      <c r="E17" s="4" t="n">
        <v>24</v>
      </c>
      <c r="F17" s="4" t="s">
        <v>95</v>
      </c>
      <c r="G17" s="8" t="n">
        <v>0.2112</v>
      </c>
      <c r="H17" s="4" t="s">
        <v>95</v>
      </c>
      <c r="I17" s="8" t="n">
        <v>0.2649</v>
      </c>
      <c r="J17" s="4" t="s">
        <v>112</v>
      </c>
      <c r="K17" s="8" t="n">
        <v>0.0854</v>
      </c>
      <c r="L17" s="8" t="n">
        <v>0.0887</v>
      </c>
      <c r="M17" s="4" t="n">
        <f aca="false">IF(F17=J17,1,0)</f>
        <v>0</v>
      </c>
      <c r="N17" s="4" t="n">
        <f aca="false">IF(H17=J17,1,0)</f>
        <v>0</v>
      </c>
      <c r="O17" s="7" t="n">
        <f aca="false">-LN(K17)</f>
        <v>2.46040917818761</v>
      </c>
      <c r="P17" s="7" t="n">
        <f aca="false">-LN(L17)</f>
        <v>2.4224953896666</v>
      </c>
      <c r="Q17" s="7" t="n">
        <f aca="false">LN(E17)</f>
        <v>3.17805383034795</v>
      </c>
      <c r="R17" s="4" t="n">
        <v>2</v>
      </c>
      <c r="S17" s="4" t="n">
        <v>2</v>
      </c>
    </row>
    <row r="18" customFormat="false" ht="15" hidden="false" customHeight="false" outlineLevel="0" collapsed="false">
      <c r="A18" s="4" t="n">
        <v>2016</v>
      </c>
      <c r="B18" s="4" t="n">
        <v>17</v>
      </c>
      <c r="C18" s="4" t="s">
        <v>113</v>
      </c>
      <c r="D18" s="4" t="s">
        <v>93</v>
      </c>
      <c r="E18" s="4" t="n">
        <v>24</v>
      </c>
      <c r="F18" s="4" t="s">
        <v>95</v>
      </c>
      <c r="G18" s="8" t="n">
        <v>0.2137</v>
      </c>
      <c r="H18" s="4" t="s">
        <v>95</v>
      </c>
      <c r="I18" s="8" t="n">
        <v>0.2667</v>
      </c>
      <c r="J18" s="4" t="s">
        <v>95</v>
      </c>
      <c r="K18" s="8" t="n">
        <v>0.2137</v>
      </c>
      <c r="L18" s="8" t="n">
        <v>0.2667</v>
      </c>
      <c r="M18" s="4" t="n">
        <f aca="false">IF(F18=J18,1,0)</f>
        <v>1</v>
      </c>
      <c r="N18" s="4" t="n">
        <f aca="false">IF(H18=J18,1,0)</f>
        <v>1</v>
      </c>
      <c r="O18" s="7" t="n">
        <f aca="false">-LN(K18)</f>
        <v>1.54318211665704</v>
      </c>
      <c r="P18" s="7" t="n">
        <f aca="false">-LN(L18)</f>
        <v>1.32163084779417</v>
      </c>
      <c r="Q18" s="7" t="n">
        <f aca="false">LN(E18)</f>
        <v>3.17805383034795</v>
      </c>
      <c r="R18" s="4" t="n">
        <v>2</v>
      </c>
      <c r="S18" s="4" t="n">
        <v>2</v>
      </c>
    </row>
    <row r="19" customFormat="false" ht="15" hidden="false" customHeight="false" outlineLevel="0" collapsed="false">
      <c r="A19" s="4" t="n">
        <v>2016</v>
      </c>
      <c r="B19" s="4" t="n">
        <v>18</v>
      </c>
      <c r="C19" s="4" t="s">
        <v>114</v>
      </c>
      <c r="D19" s="4" t="s">
        <v>93</v>
      </c>
      <c r="E19" s="4" t="n">
        <v>24</v>
      </c>
      <c r="F19" s="4" t="s">
        <v>95</v>
      </c>
      <c r="G19" s="8" t="n">
        <v>0.2241</v>
      </c>
      <c r="H19" s="4" t="s">
        <v>95</v>
      </c>
      <c r="I19" s="8" t="n">
        <v>0.2859</v>
      </c>
      <c r="J19" s="4" t="s">
        <v>94</v>
      </c>
      <c r="K19" s="8" t="n">
        <v>0.1767</v>
      </c>
      <c r="L19" s="8" t="n">
        <v>0.2056</v>
      </c>
      <c r="M19" s="4" t="n">
        <f aca="false">IF(F19=J19,1,0)</f>
        <v>0</v>
      </c>
      <c r="N19" s="4" t="n">
        <f aca="false">IF(H19=J19,1,0)</f>
        <v>0</v>
      </c>
      <c r="O19" s="7" t="n">
        <f aca="false">-LN(K19)</f>
        <v>1.73330189965649</v>
      </c>
      <c r="P19" s="7" t="n">
        <f aca="false">-LN(L19)</f>
        <v>1.58182274540113</v>
      </c>
      <c r="Q19" s="7" t="n">
        <f aca="false">LN(E19)</f>
        <v>3.17805383034795</v>
      </c>
      <c r="R19" s="4" t="n">
        <v>3</v>
      </c>
      <c r="S19" s="4" t="n">
        <v>3</v>
      </c>
    </row>
    <row r="20" customFormat="false" ht="15" hidden="false" customHeight="false" outlineLevel="0" collapsed="false">
      <c r="A20" s="4" t="n">
        <v>2016</v>
      </c>
      <c r="B20" s="4" t="n">
        <v>19</v>
      </c>
      <c r="C20" s="4" t="s">
        <v>115</v>
      </c>
      <c r="D20" s="4" t="s">
        <v>93</v>
      </c>
      <c r="E20" s="4" t="n">
        <v>24</v>
      </c>
      <c r="F20" s="4" t="s">
        <v>95</v>
      </c>
      <c r="G20" s="8" t="n">
        <v>0.2256</v>
      </c>
      <c r="H20" s="4" t="s">
        <v>95</v>
      </c>
      <c r="I20" s="8" t="n">
        <v>0.2897</v>
      </c>
      <c r="J20" s="4" t="s">
        <v>94</v>
      </c>
      <c r="K20" s="8" t="n">
        <v>0.1872</v>
      </c>
      <c r="L20" s="8" t="n">
        <v>0.2236</v>
      </c>
      <c r="M20" s="4" t="n">
        <f aca="false">IF(F20=J20,1,0)</f>
        <v>0</v>
      </c>
      <c r="N20" s="4" t="n">
        <f aca="false">IF(H20=J20,1,0)</f>
        <v>0</v>
      </c>
      <c r="O20" s="7" t="n">
        <f aca="false">-LN(K20)</f>
        <v>1.67557771493865</v>
      </c>
      <c r="P20" s="7" t="n">
        <f aca="false">-LN(L20)</f>
        <v>1.49789653770119</v>
      </c>
      <c r="Q20" s="7" t="n">
        <f aca="false">LN(E20)</f>
        <v>3.17805383034795</v>
      </c>
      <c r="R20" s="4" t="n">
        <v>3</v>
      </c>
      <c r="S20" s="4" t="n">
        <v>3</v>
      </c>
    </row>
    <row r="21" customFormat="false" ht="15" hidden="false" customHeight="false" outlineLevel="0" collapsed="false">
      <c r="A21" s="4" t="n">
        <v>2016</v>
      </c>
      <c r="B21" s="4" t="n">
        <v>20</v>
      </c>
      <c r="C21" s="4" t="s">
        <v>116</v>
      </c>
      <c r="D21" s="4" t="s">
        <v>93</v>
      </c>
      <c r="E21" s="4" t="n">
        <v>24</v>
      </c>
      <c r="F21" s="4" t="s">
        <v>95</v>
      </c>
      <c r="G21" s="8" t="n">
        <v>0.2234</v>
      </c>
      <c r="H21" s="4" t="s">
        <v>95</v>
      </c>
      <c r="I21" s="8" t="n">
        <v>0.2846</v>
      </c>
      <c r="J21" s="4" t="s">
        <v>94</v>
      </c>
      <c r="K21" s="8" t="n">
        <v>0.1951</v>
      </c>
      <c r="L21" s="8" t="n">
        <v>0.2357</v>
      </c>
      <c r="M21" s="4" t="n">
        <f aca="false">IF(F21=J21,1,0)</f>
        <v>0</v>
      </c>
      <c r="N21" s="4" t="n">
        <f aca="false">IF(H21=J21,1,0)</f>
        <v>0</v>
      </c>
      <c r="O21" s="7" t="n">
        <f aca="false">-LN(K21)</f>
        <v>1.63424303135307</v>
      </c>
      <c r="P21" s="7" t="n">
        <f aca="false">-LN(L21)</f>
        <v>1.44519546904005</v>
      </c>
      <c r="Q21" s="7" t="n">
        <f aca="false">LN(E21)</f>
        <v>3.17805383034795</v>
      </c>
      <c r="R21" s="4" t="n">
        <v>2</v>
      </c>
      <c r="S21" s="4" t="n">
        <v>2</v>
      </c>
    </row>
    <row r="22" customFormat="false" ht="15" hidden="false" customHeight="false" outlineLevel="0" collapsed="false">
      <c r="A22" s="4" t="n">
        <v>2016</v>
      </c>
      <c r="B22" s="4" t="n">
        <v>21</v>
      </c>
      <c r="C22" s="4" t="s">
        <v>117</v>
      </c>
      <c r="D22" s="4" t="s">
        <v>93</v>
      </c>
      <c r="E22" s="4" t="n">
        <v>24</v>
      </c>
      <c r="F22" s="4" t="s">
        <v>95</v>
      </c>
      <c r="G22" s="8" t="n">
        <v>0.2238</v>
      </c>
      <c r="H22" s="4" t="s">
        <v>95</v>
      </c>
      <c r="I22" s="8" t="n">
        <v>0.2843</v>
      </c>
      <c r="J22" s="4" t="s">
        <v>94</v>
      </c>
      <c r="K22" s="8" t="n">
        <v>0.2056</v>
      </c>
      <c r="L22" s="8" t="n">
        <v>0.2527</v>
      </c>
      <c r="M22" s="4" t="n">
        <f aca="false">IF(F22=J22,1,0)</f>
        <v>0</v>
      </c>
      <c r="N22" s="4" t="n">
        <f aca="false">IF(H22=J22,1,0)</f>
        <v>0</v>
      </c>
      <c r="O22" s="7" t="n">
        <f aca="false">-LN(K22)</f>
        <v>1.58182274540113</v>
      </c>
      <c r="P22" s="7" t="n">
        <f aca="false">-LN(L22)</f>
        <v>1.37555226458799</v>
      </c>
      <c r="Q22" s="7" t="n">
        <f aca="false">LN(E22)</f>
        <v>3.17805383034795</v>
      </c>
      <c r="R22" s="4" t="n">
        <v>2</v>
      </c>
      <c r="S22" s="4" t="n">
        <v>2</v>
      </c>
    </row>
    <row r="23" customFormat="false" ht="15" hidden="false" customHeight="false" outlineLevel="0" collapsed="false">
      <c r="A23" s="4" t="n">
        <v>2017</v>
      </c>
      <c r="B23" s="4" t="n">
        <v>1</v>
      </c>
      <c r="C23" s="4" t="s">
        <v>92</v>
      </c>
      <c r="D23" s="4" t="s">
        <v>93</v>
      </c>
      <c r="E23" s="4" t="n">
        <v>25</v>
      </c>
      <c r="F23" s="4" t="s">
        <v>94</v>
      </c>
      <c r="G23" s="8" t="n">
        <v>0.0749</v>
      </c>
      <c r="H23" s="4" t="s">
        <v>94</v>
      </c>
      <c r="I23" s="8" t="n">
        <v>0.0883</v>
      </c>
      <c r="J23" s="4" t="s">
        <v>118</v>
      </c>
      <c r="K23" s="8" t="n">
        <v>0.0545</v>
      </c>
      <c r="L23" s="8" t="n">
        <v>0.0593</v>
      </c>
      <c r="M23" s="4" t="n">
        <f aca="false">IF(F23=J23,1,0)</f>
        <v>0</v>
      </c>
      <c r="N23" s="4" t="n">
        <f aca="false">IF(H23=J23,1,0)</f>
        <v>0</v>
      </c>
      <c r="O23" s="7" t="n">
        <f aca="false">-LN(K23)</f>
        <v>2.90955457731294</v>
      </c>
      <c r="P23" s="7" t="n">
        <f aca="false">-LN(L23)</f>
        <v>2.82514597297846</v>
      </c>
      <c r="Q23" s="7" t="n">
        <f aca="false">LN(E23)</f>
        <v>3.2188758248682</v>
      </c>
      <c r="R23" s="4" t="n">
        <v>2</v>
      </c>
      <c r="S23" s="4" t="n">
        <v>2</v>
      </c>
    </row>
    <row r="24" customFormat="false" ht="15" hidden="false" customHeight="false" outlineLevel="0" collapsed="false">
      <c r="A24" s="4" t="n">
        <v>2017</v>
      </c>
      <c r="B24" s="4" t="n">
        <v>2</v>
      </c>
      <c r="C24" s="4" t="s">
        <v>97</v>
      </c>
      <c r="D24" s="4" t="s">
        <v>93</v>
      </c>
      <c r="E24" s="4" t="n">
        <v>25</v>
      </c>
      <c r="F24" s="4" t="s">
        <v>94</v>
      </c>
      <c r="G24" s="8" t="n">
        <v>0.1205</v>
      </c>
      <c r="H24" s="4" t="s">
        <v>94</v>
      </c>
      <c r="I24" s="8" t="n">
        <v>0.1552</v>
      </c>
      <c r="J24" s="4" t="s">
        <v>94</v>
      </c>
      <c r="K24" s="8" t="n">
        <v>0.1205</v>
      </c>
      <c r="L24" s="8" t="n">
        <v>0.1552</v>
      </c>
      <c r="M24" s="4" t="n">
        <f aca="false">IF(F24=J24,1,0)</f>
        <v>1</v>
      </c>
      <c r="N24" s="4" t="n">
        <f aca="false">IF(H24=J24,1,0)</f>
        <v>1</v>
      </c>
      <c r="O24" s="7" t="n">
        <f aca="false">-LN(K24)</f>
        <v>2.11610552605143</v>
      </c>
      <c r="P24" s="7" t="n">
        <f aca="false">-LN(L24)</f>
        <v>1.86304067123302</v>
      </c>
      <c r="Q24" s="7" t="n">
        <f aca="false">LN(E24)</f>
        <v>3.2188758248682</v>
      </c>
      <c r="R24" s="4" t="n">
        <v>2</v>
      </c>
      <c r="S24" s="4" t="n">
        <v>2</v>
      </c>
    </row>
    <row r="25" customFormat="false" ht="15" hidden="false" customHeight="false" outlineLevel="0" collapsed="false">
      <c r="A25" s="4" t="n">
        <v>2017</v>
      </c>
      <c r="B25" s="4" t="n">
        <v>3</v>
      </c>
      <c r="C25" s="4" t="s">
        <v>96</v>
      </c>
      <c r="D25" s="4" t="s">
        <v>93</v>
      </c>
      <c r="E25" s="4" t="n">
        <v>25</v>
      </c>
      <c r="F25" s="4" t="s">
        <v>94</v>
      </c>
      <c r="G25" s="8" t="n">
        <v>0.1562</v>
      </c>
      <c r="H25" s="4" t="s">
        <v>94</v>
      </c>
      <c r="I25" s="8" t="n">
        <v>0.2021</v>
      </c>
      <c r="J25" s="4" t="s">
        <v>118</v>
      </c>
      <c r="K25" s="8" t="n">
        <v>0.1361</v>
      </c>
      <c r="L25" s="8" t="n">
        <v>0.1657</v>
      </c>
      <c r="M25" s="4" t="n">
        <f aca="false">IF(F25=J25,1,0)</f>
        <v>0</v>
      </c>
      <c r="N25" s="4" t="n">
        <f aca="false">IF(H25=J25,1,0)</f>
        <v>0</v>
      </c>
      <c r="O25" s="7" t="n">
        <f aca="false">-LN(K25)</f>
        <v>1.99436536932472</v>
      </c>
      <c r="P25" s="7" t="n">
        <f aca="false">-LN(L25)</f>
        <v>1.79757635454962</v>
      </c>
      <c r="Q25" s="7" t="n">
        <f aca="false">LN(E25)</f>
        <v>3.2188758248682</v>
      </c>
      <c r="R25" s="4" t="n">
        <v>2</v>
      </c>
      <c r="S25" s="4" t="n">
        <v>2</v>
      </c>
    </row>
    <row r="26" customFormat="false" ht="15" hidden="false" customHeight="false" outlineLevel="0" collapsed="false">
      <c r="A26" s="4" t="n">
        <v>2017</v>
      </c>
      <c r="B26" s="4" t="n">
        <v>4</v>
      </c>
      <c r="C26" s="4" t="s">
        <v>98</v>
      </c>
      <c r="D26" s="4" t="s">
        <v>93</v>
      </c>
      <c r="E26" s="4" t="n">
        <v>25</v>
      </c>
      <c r="F26" s="4" t="s">
        <v>94</v>
      </c>
      <c r="G26" s="8" t="n">
        <v>0.1728</v>
      </c>
      <c r="H26" s="4" t="s">
        <v>94</v>
      </c>
      <c r="I26" s="8" t="n">
        <v>0.2199</v>
      </c>
      <c r="J26" s="4" t="s">
        <v>119</v>
      </c>
      <c r="K26" s="8" t="n">
        <v>0.1087</v>
      </c>
      <c r="L26" s="8" t="n">
        <v>0.1155</v>
      </c>
      <c r="M26" s="4" t="n">
        <f aca="false">IF(F26=J26,1,0)</f>
        <v>0</v>
      </c>
      <c r="N26" s="4" t="n">
        <f aca="false">IF(H26=J26,1,0)</f>
        <v>0</v>
      </c>
      <c r="O26" s="7" t="n">
        <f aca="false">-LN(K26)</f>
        <v>2.21916348485497</v>
      </c>
      <c r="P26" s="7" t="n">
        <f aca="false">-LN(L26)</f>
        <v>2.15848474902029</v>
      </c>
      <c r="Q26" s="7" t="n">
        <f aca="false">LN(E26)</f>
        <v>3.2188758248682</v>
      </c>
      <c r="R26" s="4" t="n">
        <v>2</v>
      </c>
      <c r="S26" s="4" t="n">
        <v>2</v>
      </c>
    </row>
    <row r="27" customFormat="false" ht="15" hidden="false" customHeight="false" outlineLevel="0" collapsed="false">
      <c r="A27" s="4" t="n">
        <v>2017</v>
      </c>
      <c r="B27" s="4" t="n">
        <v>5</v>
      </c>
      <c r="C27" s="4" t="s">
        <v>99</v>
      </c>
      <c r="D27" s="4" t="s">
        <v>93</v>
      </c>
      <c r="E27" s="4" t="n">
        <v>25</v>
      </c>
      <c r="F27" s="4" t="s">
        <v>94</v>
      </c>
      <c r="G27" s="8" t="n">
        <v>0.1768</v>
      </c>
      <c r="H27" s="4" t="s">
        <v>94</v>
      </c>
      <c r="I27" s="8" t="n">
        <v>0.221</v>
      </c>
      <c r="J27" s="4" t="s">
        <v>94</v>
      </c>
      <c r="K27" s="8" t="n">
        <v>0.1768</v>
      </c>
      <c r="L27" s="8" t="n">
        <v>0.221</v>
      </c>
      <c r="M27" s="4" t="n">
        <f aca="false">IF(F27=J27,1,0)</f>
        <v>1</v>
      </c>
      <c r="N27" s="4" t="n">
        <f aca="false">IF(H27=J27,1,0)</f>
        <v>1</v>
      </c>
      <c r="O27" s="7" t="n">
        <f aca="false">-LN(K27)</f>
        <v>1.73273612877859</v>
      </c>
      <c r="P27" s="7" t="n">
        <f aca="false">-LN(L27)</f>
        <v>1.50959257746438</v>
      </c>
      <c r="Q27" s="7" t="n">
        <f aca="false">LN(E27)</f>
        <v>3.2188758248682</v>
      </c>
      <c r="R27" s="4" t="n">
        <v>2</v>
      </c>
      <c r="S27" s="4" t="n">
        <v>2</v>
      </c>
    </row>
    <row r="28" customFormat="false" ht="15" hidden="false" customHeight="false" outlineLevel="0" collapsed="false">
      <c r="A28" s="4" t="n">
        <v>2017</v>
      </c>
      <c r="B28" s="4" t="n">
        <v>6</v>
      </c>
      <c r="C28" s="4" t="s">
        <v>101</v>
      </c>
      <c r="D28" s="4" t="s">
        <v>93</v>
      </c>
      <c r="E28" s="4" t="n">
        <v>25</v>
      </c>
      <c r="F28" s="4" t="s">
        <v>94</v>
      </c>
      <c r="G28" s="8" t="n">
        <v>0.1947</v>
      </c>
      <c r="H28" s="4" t="s">
        <v>94</v>
      </c>
      <c r="I28" s="8" t="n">
        <v>0.2501</v>
      </c>
      <c r="J28" s="4" t="s">
        <v>118</v>
      </c>
      <c r="K28" s="8" t="n">
        <v>0.1753</v>
      </c>
      <c r="L28" s="8" t="n">
        <v>0.2153</v>
      </c>
      <c r="M28" s="4" t="n">
        <f aca="false">IF(F28=J28,1,0)</f>
        <v>0</v>
      </c>
      <c r="N28" s="4" t="n">
        <f aca="false">IF(H28=J28,1,0)</f>
        <v>0</v>
      </c>
      <c r="O28" s="7" t="n">
        <f aca="false">-LN(K28)</f>
        <v>1.74125648705495</v>
      </c>
      <c r="P28" s="7" t="n">
        <f aca="false">-LN(L28)</f>
        <v>1.53572287461182</v>
      </c>
      <c r="Q28" s="7" t="n">
        <f aca="false">LN(E28)</f>
        <v>3.2188758248682</v>
      </c>
      <c r="R28" s="4" t="n">
        <v>1</v>
      </c>
      <c r="S28" s="4" t="n">
        <v>1</v>
      </c>
    </row>
    <row r="29" customFormat="false" ht="15" hidden="false" customHeight="false" outlineLevel="0" collapsed="false">
      <c r="A29" s="4" t="n">
        <v>2017</v>
      </c>
      <c r="B29" s="4" t="n">
        <v>7</v>
      </c>
      <c r="C29" s="4" t="s">
        <v>102</v>
      </c>
      <c r="D29" s="4" t="s">
        <v>93</v>
      </c>
      <c r="E29" s="4" t="n">
        <v>25</v>
      </c>
      <c r="F29" s="4" t="s">
        <v>118</v>
      </c>
      <c r="G29" s="8" t="n">
        <v>0.1919</v>
      </c>
      <c r="H29" s="4" t="s">
        <v>118</v>
      </c>
      <c r="I29" s="8" t="n">
        <v>0.2471</v>
      </c>
      <c r="J29" s="4" t="s">
        <v>94</v>
      </c>
      <c r="K29" s="8" t="n">
        <v>0.1768</v>
      </c>
      <c r="L29" s="8" t="n">
        <v>0.2163</v>
      </c>
      <c r="M29" s="4" t="n">
        <f aca="false">IF(F29=J29,1,0)</f>
        <v>0</v>
      </c>
      <c r="N29" s="4" t="n">
        <f aca="false">IF(H29=J29,1,0)</f>
        <v>0</v>
      </c>
      <c r="O29" s="7" t="n">
        <f aca="false">-LN(K29)</f>
        <v>1.73273612877859</v>
      </c>
      <c r="P29" s="7" t="n">
        <f aca="false">-LN(L29)</f>
        <v>1.53108894602312</v>
      </c>
      <c r="Q29" s="7" t="n">
        <f aca="false">LN(E29)</f>
        <v>3.2188758248682</v>
      </c>
      <c r="R29" s="4" t="n">
        <v>1</v>
      </c>
      <c r="S29" s="4" t="n">
        <v>1</v>
      </c>
    </row>
    <row r="30" customFormat="false" ht="15" hidden="false" customHeight="false" outlineLevel="0" collapsed="false">
      <c r="A30" s="4" t="n">
        <v>2017</v>
      </c>
      <c r="B30" s="4" t="n">
        <v>8</v>
      </c>
      <c r="C30" s="4" t="s">
        <v>120</v>
      </c>
      <c r="D30" s="4" t="s">
        <v>93</v>
      </c>
      <c r="E30" s="4" t="n">
        <v>25</v>
      </c>
      <c r="F30" s="4" t="s">
        <v>94</v>
      </c>
      <c r="G30" s="8" t="n">
        <v>0.1891</v>
      </c>
      <c r="H30" s="4" t="s">
        <v>94</v>
      </c>
      <c r="I30" s="8" t="n">
        <v>0.2417</v>
      </c>
      <c r="J30" s="4" t="s">
        <v>112</v>
      </c>
      <c r="K30" s="8" t="n">
        <v>0.0541</v>
      </c>
      <c r="L30" s="8" t="n">
        <v>0.0519</v>
      </c>
      <c r="M30" s="4" t="n">
        <f aca="false">IF(F30=J30,1,0)</f>
        <v>0</v>
      </c>
      <c r="N30" s="4" t="n">
        <f aca="false">IF(H30=J30,1,0)</f>
        <v>0</v>
      </c>
      <c r="O30" s="7" t="n">
        <f aca="false">-LN(K30)</f>
        <v>2.9169210931297</v>
      </c>
      <c r="P30" s="7" t="n">
        <f aca="false">-LN(L30)</f>
        <v>2.95843648881029</v>
      </c>
      <c r="Q30" s="7" t="n">
        <f aca="false">LN(E30)</f>
        <v>3.2188758248682</v>
      </c>
      <c r="R30" s="4" t="n">
        <v>1</v>
      </c>
      <c r="S30" s="4" t="n">
        <v>1</v>
      </c>
    </row>
    <row r="31" customFormat="false" ht="15" hidden="false" customHeight="false" outlineLevel="0" collapsed="false">
      <c r="A31" s="4" t="n">
        <v>2017</v>
      </c>
      <c r="B31" s="4" t="n">
        <v>9</v>
      </c>
      <c r="C31" s="4" t="s">
        <v>104</v>
      </c>
      <c r="D31" s="4" t="s">
        <v>93</v>
      </c>
      <c r="E31" s="4" t="n">
        <v>25</v>
      </c>
      <c r="F31" s="4" t="s">
        <v>94</v>
      </c>
      <c r="G31" s="8" t="n">
        <v>0.1872</v>
      </c>
      <c r="H31" s="4" t="s">
        <v>94</v>
      </c>
      <c r="I31" s="8" t="n">
        <v>0.2383</v>
      </c>
      <c r="J31" s="4" t="s">
        <v>119</v>
      </c>
      <c r="K31" s="8" t="n">
        <v>0.1172</v>
      </c>
      <c r="L31" s="8" t="n">
        <v>0.1244</v>
      </c>
      <c r="M31" s="4" t="n">
        <f aca="false">IF(F31=J31,1,0)</f>
        <v>0</v>
      </c>
      <c r="N31" s="4" t="n">
        <f aca="false">IF(H31=J31,1,0)</f>
        <v>0</v>
      </c>
      <c r="O31" s="7" t="n">
        <f aca="false">-LN(K31)</f>
        <v>2.14387340183922</v>
      </c>
      <c r="P31" s="7" t="n">
        <f aca="false">-LN(L31)</f>
        <v>2.08425309867706</v>
      </c>
      <c r="Q31" s="7" t="n">
        <f aca="false">LN(E31)</f>
        <v>3.2188758248682</v>
      </c>
      <c r="R31" s="4" t="n">
        <v>2</v>
      </c>
      <c r="S31" s="4" t="n">
        <v>2</v>
      </c>
    </row>
    <row r="32" customFormat="false" ht="15" hidden="false" customHeight="false" outlineLevel="0" collapsed="false">
      <c r="A32" s="4" t="n">
        <v>2017</v>
      </c>
      <c r="B32" s="4" t="n">
        <v>10</v>
      </c>
      <c r="C32" s="4" t="s">
        <v>105</v>
      </c>
      <c r="D32" s="4" t="s">
        <v>93</v>
      </c>
      <c r="E32" s="4" t="n">
        <v>25</v>
      </c>
      <c r="F32" s="4" t="s">
        <v>94</v>
      </c>
      <c r="G32" s="8" t="n">
        <v>0.1826</v>
      </c>
      <c r="H32" s="4" t="s">
        <v>94</v>
      </c>
      <c r="I32" s="8" t="n">
        <v>0.2296</v>
      </c>
      <c r="J32" s="4" t="s">
        <v>94</v>
      </c>
      <c r="K32" s="8" t="n">
        <v>0.1826</v>
      </c>
      <c r="L32" s="8" t="n">
        <v>0.2296</v>
      </c>
      <c r="M32" s="4" t="n">
        <f aca="false">IF(F32=J32,1,0)</f>
        <v>1</v>
      </c>
      <c r="N32" s="4" t="n">
        <f aca="false">IF(H32=J32,1,0)</f>
        <v>1</v>
      </c>
      <c r="O32" s="7" t="n">
        <f aca="false">-LN(K32)</f>
        <v>1.70045731082127</v>
      </c>
      <c r="P32" s="7" t="n">
        <f aca="false">-LN(L32)</f>
        <v>1.47141661453673</v>
      </c>
      <c r="Q32" s="7" t="n">
        <f aca="false">LN(E32)</f>
        <v>3.2188758248682</v>
      </c>
      <c r="R32" s="4" t="n">
        <v>2</v>
      </c>
      <c r="S32" s="4" t="n">
        <v>2</v>
      </c>
    </row>
    <row r="33" customFormat="false" ht="15" hidden="false" customHeight="false" outlineLevel="0" collapsed="false">
      <c r="A33" s="4" t="n">
        <v>2017</v>
      </c>
      <c r="B33" s="4" t="n">
        <v>11</v>
      </c>
      <c r="C33" s="4" t="s">
        <v>106</v>
      </c>
      <c r="D33" s="4" t="s">
        <v>93</v>
      </c>
      <c r="E33" s="4" t="n">
        <v>25</v>
      </c>
      <c r="F33" s="4" t="s">
        <v>94</v>
      </c>
      <c r="G33" s="8" t="n">
        <v>0.1967</v>
      </c>
      <c r="H33" s="4" t="s">
        <v>94</v>
      </c>
      <c r="I33" s="8" t="n">
        <v>0.2542</v>
      </c>
      <c r="J33" s="4" t="s">
        <v>118</v>
      </c>
      <c r="K33" s="8" t="n">
        <v>0.164</v>
      </c>
      <c r="L33" s="8" t="n">
        <v>0.1978</v>
      </c>
      <c r="M33" s="4" t="n">
        <f aca="false">IF(F33=J33,1,0)</f>
        <v>0</v>
      </c>
      <c r="N33" s="4" t="n">
        <f aca="false">IF(H33=J33,1,0)</f>
        <v>0</v>
      </c>
      <c r="O33" s="7" t="n">
        <f aca="false">-LN(K33)</f>
        <v>1.80788885115794</v>
      </c>
      <c r="P33" s="7" t="n">
        <f aca="false">-LN(L33)</f>
        <v>1.62049885979353</v>
      </c>
      <c r="Q33" s="7" t="n">
        <f aca="false">LN(E33)</f>
        <v>3.2188758248682</v>
      </c>
      <c r="R33" s="4" t="n">
        <v>2</v>
      </c>
      <c r="S33" s="4" t="n">
        <v>2</v>
      </c>
    </row>
    <row r="34" customFormat="false" ht="15" hidden="false" customHeight="false" outlineLevel="0" collapsed="false">
      <c r="A34" s="4" t="n">
        <v>2017</v>
      </c>
      <c r="B34" s="4" t="n">
        <v>12</v>
      </c>
      <c r="C34" s="4" t="s">
        <v>108</v>
      </c>
      <c r="D34" s="4" t="s">
        <v>93</v>
      </c>
      <c r="E34" s="4" t="n">
        <v>25</v>
      </c>
      <c r="F34" s="4" t="s">
        <v>94</v>
      </c>
      <c r="G34" s="8" t="n">
        <v>0.1932</v>
      </c>
      <c r="H34" s="4" t="s">
        <v>94</v>
      </c>
      <c r="I34" s="8" t="n">
        <v>0.2424</v>
      </c>
      <c r="J34" s="4" t="s">
        <v>94</v>
      </c>
      <c r="K34" s="8" t="n">
        <v>0.1932</v>
      </c>
      <c r="L34" s="8" t="n">
        <v>0.2424</v>
      </c>
      <c r="M34" s="4" t="n">
        <f aca="false">IF(F34=J34,1,0)</f>
        <v>1</v>
      </c>
      <c r="N34" s="4" t="n">
        <f aca="false">IF(H34=J34,1,0)</f>
        <v>1</v>
      </c>
      <c r="O34" s="7" t="n">
        <f aca="false">-LN(K34)</f>
        <v>1.64402935720372</v>
      </c>
      <c r="P34" s="7" t="n">
        <f aca="false">-LN(L34)</f>
        <v>1.41716602478698</v>
      </c>
      <c r="Q34" s="7" t="n">
        <f aca="false">LN(E34)</f>
        <v>3.2188758248682</v>
      </c>
      <c r="R34" s="4" t="n">
        <v>2</v>
      </c>
      <c r="S34" s="4" t="n">
        <v>2</v>
      </c>
    </row>
    <row r="35" customFormat="false" ht="15" hidden="false" customHeight="false" outlineLevel="0" collapsed="false">
      <c r="A35" s="4" t="n">
        <v>2017</v>
      </c>
      <c r="B35" s="4" t="n">
        <v>13</v>
      </c>
      <c r="C35" s="4" t="s">
        <v>109</v>
      </c>
      <c r="D35" s="4" t="s">
        <v>93</v>
      </c>
      <c r="E35" s="4" t="n">
        <v>25</v>
      </c>
      <c r="F35" s="4" t="s">
        <v>94</v>
      </c>
      <c r="G35" s="8" t="n">
        <v>0.2042</v>
      </c>
      <c r="H35" s="4" t="s">
        <v>94</v>
      </c>
      <c r="I35" s="8" t="n">
        <v>0.2602</v>
      </c>
      <c r="J35" s="4" t="s">
        <v>94</v>
      </c>
      <c r="K35" s="8" t="n">
        <v>0.2042</v>
      </c>
      <c r="L35" s="8" t="n">
        <v>0.2602</v>
      </c>
      <c r="M35" s="4" t="n">
        <f aca="false">IF(F35=J35,1,0)</f>
        <v>1</v>
      </c>
      <c r="N35" s="4" t="n">
        <f aca="false">IF(H35=J35,1,0)</f>
        <v>1</v>
      </c>
      <c r="O35" s="7" t="n">
        <f aca="false">-LN(K35)</f>
        <v>1.58865537325157</v>
      </c>
      <c r="P35" s="7" t="n">
        <f aca="false">-LN(L35)</f>
        <v>1.34630471290373</v>
      </c>
      <c r="Q35" s="7" t="n">
        <f aca="false">LN(E35)</f>
        <v>3.2188758248682</v>
      </c>
      <c r="R35" s="4" t="n">
        <v>3</v>
      </c>
      <c r="S35" s="4" t="n">
        <v>3</v>
      </c>
    </row>
    <row r="36" customFormat="false" ht="15" hidden="false" customHeight="false" outlineLevel="0" collapsed="false">
      <c r="A36" s="4" t="n">
        <v>2017</v>
      </c>
      <c r="B36" s="4" t="n">
        <v>14</v>
      </c>
      <c r="C36" s="4" t="s">
        <v>110</v>
      </c>
      <c r="D36" s="4" t="s">
        <v>93</v>
      </c>
      <c r="E36" s="4" t="n">
        <v>25</v>
      </c>
      <c r="F36" s="4" t="s">
        <v>94</v>
      </c>
      <c r="G36" s="8" t="n">
        <v>0.2145</v>
      </c>
      <c r="H36" s="4" t="s">
        <v>94</v>
      </c>
      <c r="I36" s="8" t="n">
        <v>0.2782</v>
      </c>
      <c r="J36" s="4" t="s">
        <v>94</v>
      </c>
      <c r="K36" s="8" t="n">
        <v>0.2145</v>
      </c>
      <c r="L36" s="8" t="n">
        <v>0.2782</v>
      </c>
      <c r="M36" s="4" t="n">
        <f aca="false">IF(F36=J36,1,0)</f>
        <v>1</v>
      </c>
      <c r="N36" s="4" t="n">
        <f aca="false">IF(H36=J36,1,0)</f>
        <v>1</v>
      </c>
      <c r="O36" s="7" t="n">
        <f aca="false">-LN(K36)</f>
        <v>1.53944554061407</v>
      </c>
      <c r="P36" s="7" t="n">
        <f aca="false">-LN(L36)</f>
        <v>1.27941499949279</v>
      </c>
      <c r="Q36" s="7" t="n">
        <f aca="false">LN(E36)</f>
        <v>3.2188758248682</v>
      </c>
      <c r="R36" s="4" t="n">
        <v>2</v>
      </c>
      <c r="S36" s="4" t="n">
        <v>2</v>
      </c>
    </row>
    <row r="37" customFormat="false" ht="15" hidden="false" customHeight="false" outlineLevel="0" collapsed="false">
      <c r="A37" s="4" t="n">
        <v>2017</v>
      </c>
      <c r="B37" s="4" t="n">
        <v>15</v>
      </c>
      <c r="C37" s="4" t="s">
        <v>111</v>
      </c>
      <c r="D37" s="4" t="s">
        <v>93</v>
      </c>
      <c r="E37" s="4" t="n">
        <v>25</v>
      </c>
      <c r="F37" s="4" t="s">
        <v>94</v>
      </c>
      <c r="G37" s="8" t="n">
        <v>0.2353</v>
      </c>
      <c r="H37" s="4" t="s">
        <v>94</v>
      </c>
      <c r="I37" s="8" t="n">
        <v>0.3168</v>
      </c>
      <c r="J37" s="4" t="s">
        <v>100</v>
      </c>
      <c r="K37" s="8" t="n">
        <v>0.0299</v>
      </c>
      <c r="L37" s="8" t="n">
        <v>0.0218</v>
      </c>
      <c r="M37" s="4" t="n">
        <f aca="false">IF(F37=J37,1,0)</f>
        <v>0</v>
      </c>
      <c r="N37" s="4" t="n">
        <f aca="false">IF(H37=J37,1,0)</f>
        <v>0</v>
      </c>
      <c r="O37" s="7" t="n">
        <f aca="false">-LN(K37)</f>
        <v>3.5098967985855</v>
      </c>
      <c r="P37" s="7" t="n">
        <f aca="false">-LN(L37)</f>
        <v>3.82584530918709</v>
      </c>
      <c r="Q37" s="7" t="n">
        <f aca="false">LN(E37)</f>
        <v>3.2188758248682</v>
      </c>
      <c r="R37" s="4" t="n">
        <v>1</v>
      </c>
      <c r="S37" s="4" t="n">
        <v>1</v>
      </c>
    </row>
    <row r="38" customFormat="false" ht="15" hidden="false" customHeight="false" outlineLevel="0" collapsed="false">
      <c r="A38" s="4" t="n">
        <v>2017</v>
      </c>
      <c r="B38" s="4" t="n">
        <v>16</v>
      </c>
      <c r="C38" s="4" t="s">
        <v>113</v>
      </c>
      <c r="D38" s="4" t="s">
        <v>93</v>
      </c>
      <c r="E38" s="4" t="n">
        <v>25</v>
      </c>
      <c r="F38" s="4" t="s">
        <v>94</v>
      </c>
      <c r="G38" s="8" t="n">
        <v>0.243</v>
      </c>
      <c r="H38" s="4" t="s">
        <v>94</v>
      </c>
      <c r="I38" s="8" t="n">
        <v>0.3255</v>
      </c>
      <c r="J38" s="4" t="s">
        <v>94</v>
      </c>
      <c r="K38" s="8" t="n">
        <v>0.243</v>
      </c>
      <c r="L38" s="8" t="n">
        <v>0.3255</v>
      </c>
      <c r="M38" s="4" t="n">
        <f aca="false">IF(F38=J38,1,0)</f>
        <v>1</v>
      </c>
      <c r="N38" s="4" t="n">
        <f aca="false">IF(H38=J38,1,0)</f>
        <v>1</v>
      </c>
      <c r="O38" s="7" t="n">
        <f aca="false">-LN(K38)</f>
        <v>1.41469383564159</v>
      </c>
      <c r="P38" s="7" t="n">
        <f aca="false">-LN(L38)</f>
        <v>1.12239281733351</v>
      </c>
      <c r="Q38" s="7" t="n">
        <f aca="false">LN(E38)</f>
        <v>3.2188758248682</v>
      </c>
      <c r="R38" s="4" t="n">
        <v>1</v>
      </c>
      <c r="S38" s="4" t="n">
        <v>1</v>
      </c>
    </row>
    <row r="39" customFormat="false" ht="15" hidden="false" customHeight="false" outlineLevel="0" collapsed="false">
      <c r="A39" s="4" t="n">
        <v>2017</v>
      </c>
      <c r="B39" s="4" t="n">
        <v>17</v>
      </c>
      <c r="C39" s="4" t="s">
        <v>114</v>
      </c>
      <c r="D39" s="4" t="s">
        <v>93</v>
      </c>
      <c r="E39" s="4" t="n">
        <v>25</v>
      </c>
      <c r="F39" s="4" t="s">
        <v>94</v>
      </c>
      <c r="G39" s="8" t="n">
        <v>0.2582</v>
      </c>
      <c r="H39" s="4" t="s">
        <v>94</v>
      </c>
      <c r="I39" s="8" t="n">
        <v>0.3516</v>
      </c>
      <c r="J39" s="4" t="s">
        <v>94</v>
      </c>
      <c r="K39" s="8" t="n">
        <v>0.2582</v>
      </c>
      <c r="L39" s="8" t="n">
        <v>0.3516</v>
      </c>
      <c r="M39" s="4" t="n">
        <f aca="false">IF(F39=J39,1,0)</f>
        <v>1</v>
      </c>
      <c r="N39" s="4" t="n">
        <f aca="false">IF(H39=J39,1,0)</f>
        <v>1</v>
      </c>
      <c r="O39" s="7" t="n">
        <f aca="false">-LN(K39)</f>
        <v>1.3540208005696</v>
      </c>
      <c r="P39" s="7" t="n">
        <f aca="false">-LN(L39)</f>
        <v>1.04526111317112</v>
      </c>
      <c r="Q39" s="7" t="n">
        <f aca="false">LN(E39)</f>
        <v>3.2188758248682</v>
      </c>
      <c r="R39" s="4" t="n">
        <v>2</v>
      </c>
      <c r="S39" s="4" t="n">
        <v>2</v>
      </c>
    </row>
    <row r="40" customFormat="false" ht="15" hidden="false" customHeight="false" outlineLevel="0" collapsed="false">
      <c r="A40" s="4" t="n">
        <v>2017</v>
      </c>
      <c r="B40" s="4" t="n">
        <v>18</v>
      </c>
      <c r="C40" s="4" t="s">
        <v>115</v>
      </c>
      <c r="D40" s="4" t="s">
        <v>93</v>
      </c>
      <c r="E40" s="4" t="n">
        <v>25</v>
      </c>
      <c r="F40" s="4" t="s">
        <v>94</v>
      </c>
      <c r="G40" s="8" t="n">
        <v>0.2713</v>
      </c>
      <c r="H40" s="4" t="s">
        <v>94</v>
      </c>
      <c r="I40" s="8" t="n">
        <v>0.3723</v>
      </c>
      <c r="J40" s="4" t="s">
        <v>100</v>
      </c>
      <c r="K40" s="8" t="n">
        <v>0.0388</v>
      </c>
      <c r="L40" s="8" t="n">
        <v>0.0307</v>
      </c>
      <c r="M40" s="4" t="n">
        <f aca="false">IF(F40=J40,1,0)</f>
        <v>0</v>
      </c>
      <c r="N40" s="4" t="n">
        <f aca="false">IF(H40=J40,1,0)</f>
        <v>0</v>
      </c>
      <c r="O40" s="7" t="n">
        <f aca="false">-LN(K40)</f>
        <v>3.24933503235291</v>
      </c>
      <c r="P40" s="7" t="n">
        <f aca="false">-LN(L40)</f>
        <v>3.48349262438899</v>
      </c>
      <c r="Q40" s="7" t="n">
        <f aca="false">LN(E40)</f>
        <v>3.2188758248682</v>
      </c>
      <c r="R40" s="4" t="n">
        <v>1</v>
      </c>
      <c r="S40" s="4" t="n">
        <v>1</v>
      </c>
    </row>
    <row r="41" customFormat="false" ht="15" hidden="false" customHeight="false" outlineLevel="0" collapsed="false">
      <c r="A41" s="4" t="n">
        <v>2017</v>
      </c>
      <c r="B41" s="4" t="n">
        <v>19</v>
      </c>
      <c r="C41" s="4" t="s">
        <v>116</v>
      </c>
      <c r="D41" s="4" t="s">
        <v>93</v>
      </c>
      <c r="E41" s="4" t="n">
        <v>25</v>
      </c>
      <c r="F41" s="4" t="s">
        <v>94</v>
      </c>
      <c r="G41" s="8" t="n">
        <v>0.2496</v>
      </c>
      <c r="H41" s="4" t="s">
        <v>94</v>
      </c>
      <c r="I41" s="8" t="n">
        <v>0.3323</v>
      </c>
      <c r="J41" s="4" t="s">
        <v>118</v>
      </c>
      <c r="K41" s="8" t="n">
        <v>0.1404</v>
      </c>
      <c r="L41" s="8" t="n">
        <v>0.1663</v>
      </c>
      <c r="M41" s="4" t="n">
        <f aca="false">IF(F41=J41,1,0)</f>
        <v>0</v>
      </c>
      <c r="N41" s="4" t="n">
        <f aca="false">IF(H41=J41,1,0)</f>
        <v>0</v>
      </c>
      <c r="O41" s="7" t="n">
        <f aca="false">-LN(K41)</f>
        <v>1.96325978739043</v>
      </c>
      <c r="P41" s="7" t="n">
        <f aca="false">-LN(L41)</f>
        <v>1.79396189278326</v>
      </c>
      <c r="Q41" s="7" t="n">
        <f aca="false">LN(E41)</f>
        <v>3.2188758248682</v>
      </c>
      <c r="R41" s="4" t="n">
        <v>2</v>
      </c>
      <c r="S41" s="4" t="n">
        <v>2</v>
      </c>
    </row>
    <row r="42" customFormat="false" ht="15" hidden="false" customHeight="false" outlineLevel="0" collapsed="false">
      <c r="A42" s="4" t="n">
        <v>2017</v>
      </c>
      <c r="B42" s="4" t="n">
        <v>20</v>
      </c>
      <c r="C42" s="4" t="s">
        <v>117</v>
      </c>
      <c r="D42" s="4" t="s">
        <v>93</v>
      </c>
      <c r="E42" s="4" t="n">
        <v>25</v>
      </c>
      <c r="F42" s="4" t="s">
        <v>94</v>
      </c>
      <c r="G42" s="8" t="n">
        <v>0.2411</v>
      </c>
      <c r="H42" s="4" t="s">
        <v>94</v>
      </c>
      <c r="I42" s="8" t="n">
        <v>0.3162</v>
      </c>
      <c r="J42" s="4" t="s">
        <v>119</v>
      </c>
      <c r="K42" s="8" t="n">
        <v>0.1255</v>
      </c>
      <c r="L42" s="8" t="n">
        <v>0.1278</v>
      </c>
      <c r="M42" s="4" t="n">
        <f aca="false">IF(F42=J42,1,0)</f>
        <v>0</v>
      </c>
      <c r="N42" s="4" t="n">
        <f aca="false">IF(H42=J42,1,0)</f>
        <v>0</v>
      </c>
      <c r="O42" s="7" t="n">
        <f aca="false">-LN(K42)</f>
        <v>2.0754495204103</v>
      </c>
      <c r="P42" s="7" t="n">
        <f aca="false">-LN(L42)</f>
        <v>2.0572887370387</v>
      </c>
      <c r="Q42" s="7" t="n">
        <f aca="false">LN(E42)</f>
        <v>3.2188758248682</v>
      </c>
      <c r="R42" s="4" t="n">
        <v>3</v>
      </c>
      <c r="S42" s="4" t="n">
        <v>3</v>
      </c>
    </row>
    <row r="43" customFormat="false" ht="15" hidden="false" customHeight="false" outlineLevel="0" collapsed="false">
      <c r="A43" s="4" t="n">
        <v>2018</v>
      </c>
      <c r="B43" s="4" t="n">
        <v>1</v>
      </c>
      <c r="C43" s="4" t="s">
        <v>92</v>
      </c>
      <c r="D43" s="4" t="s">
        <v>93</v>
      </c>
      <c r="E43" s="4" t="n">
        <v>20</v>
      </c>
      <c r="F43" s="4" t="s">
        <v>94</v>
      </c>
      <c r="G43" s="8" t="n">
        <v>0.142</v>
      </c>
      <c r="H43" s="4" t="s">
        <v>94</v>
      </c>
      <c r="I43" s="8" t="n">
        <v>0.1712</v>
      </c>
      <c r="J43" s="4" t="s">
        <v>118</v>
      </c>
      <c r="K43" s="8" t="n">
        <v>0.0968</v>
      </c>
      <c r="L43" s="8" t="n">
        <v>0.107</v>
      </c>
      <c r="M43" s="4" t="n">
        <f aca="false">IF(F43=J43,1,0)</f>
        <v>0</v>
      </c>
      <c r="N43" s="4" t="n">
        <f aca="false">IF(H43=J43,1,0)</f>
        <v>0</v>
      </c>
      <c r="O43" s="7" t="n">
        <f aca="false">-LN(K43)</f>
        <v>2.33510828469961</v>
      </c>
      <c r="P43" s="7" t="n">
        <f aca="false">-LN(L43)</f>
        <v>2.23492644452023</v>
      </c>
      <c r="Q43" s="7" t="n">
        <f aca="false">LN(E43)</f>
        <v>2.99573227355399</v>
      </c>
      <c r="R43" s="4" t="n">
        <v>2</v>
      </c>
      <c r="S43" s="4" t="n">
        <v>2</v>
      </c>
    </row>
    <row r="44" customFormat="false" ht="15" hidden="false" customHeight="false" outlineLevel="0" collapsed="false">
      <c r="A44" s="4" t="n">
        <v>2018</v>
      </c>
      <c r="B44" s="4" t="n">
        <v>2</v>
      </c>
      <c r="C44" s="4" t="s">
        <v>96</v>
      </c>
      <c r="D44" s="4" t="s">
        <v>93</v>
      </c>
      <c r="E44" s="4" t="n">
        <v>20</v>
      </c>
      <c r="F44" s="4" t="s">
        <v>118</v>
      </c>
      <c r="G44" s="8" t="n">
        <v>0.1687</v>
      </c>
      <c r="H44" s="4" t="s">
        <v>118</v>
      </c>
      <c r="I44" s="8" t="n">
        <v>0.212</v>
      </c>
      <c r="J44" s="4" t="s">
        <v>118</v>
      </c>
      <c r="K44" s="8" t="n">
        <v>0.1687</v>
      </c>
      <c r="L44" s="8" t="n">
        <v>0.212</v>
      </c>
      <c r="M44" s="4" t="n">
        <f aca="false">IF(F44=J44,1,0)</f>
        <v>1</v>
      </c>
      <c r="N44" s="4" t="n">
        <f aca="false">IF(H44=J44,1,0)</f>
        <v>1</v>
      </c>
      <c r="O44" s="7" t="n">
        <f aca="false">-LN(K44)</f>
        <v>1.77963328943021</v>
      </c>
      <c r="P44" s="7" t="n">
        <f aca="false">-LN(L44)</f>
        <v>1.55116900431012</v>
      </c>
      <c r="Q44" s="7" t="n">
        <f aca="false">LN(E44)</f>
        <v>2.99573227355399</v>
      </c>
      <c r="R44" s="4" t="n">
        <v>2</v>
      </c>
      <c r="S44" s="4" t="n">
        <v>2</v>
      </c>
    </row>
    <row r="45" customFormat="false" ht="15" hidden="false" customHeight="false" outlineLevel="0" collapsed="false">
      <c r="A45" s="4" t="n">
        <v>2018</v>
      </c>
      <c r="B45" s="4" t="n">
        <v>3</v>
      </c>
      <c r="C45" s="4" t="s">
        <v>97</v>
      </c>
      <c r="D45" s="4" t="s">
        <v>93</v>
      </c>
      <c r="E45" s="4" t="n">
        <v>20</v>
      </c>
      <c r="F45" s="4" t="s">
        <v>118</v>
      </c>
      <c r="G45" s="8" t="n">
        <v>0.1968</v>
      </c>
      <c r="H45" s="4" t="s">
        <v>118</v>
      </c>
      <c r="I45" s="8" t="n">
        <v>0.2454</v>
      </c>
      <c r="J45" s="4" t="s">
        <v>112</v>
      </c>
      <c r="K45" s="8" t="n">
        <v>0.0498</v>
      </c>
      <c r="L45" s="8" t="n">
        <v>0.0435</v>
      </c>
      <c r="M45" s="4" t="n">
        <f aca="false">IF(F45=J45,1,0)</f>
        <v>0</v>
      </c>
      <c r="N45" s="4" t="n">
        <f aca="false">IF(H45=J45,1,0)</f>
        <v>0</v>
      </c>
      <c r="O45" s="7" t="n">
        <f aca="false">-LN(K45)</f>
        <v>2.99974029495153</v>
      </c>
      <c r="P45" s="7" t="n">
        <f aca="false">-LN(L45)</f>
        <v>3.1349943408875</v>
      </c>
      <c r="Q45" s="7" t="n">
        <f aca="false">LN(E45)</f>
        <v>2.99573227355399</v>
      </c>
      <c r="R45" s="4" t="n">
        <v>1</v>
      </c>
      <c r="S45" s="4" t="n">
        <v>1</v>
      </c>
    </row>
    <row r="46" customFormat="false" ht="15" hidden="false" customHeight="false" outlineLevel="0" collapsed="false">
      <c r="A46" s="4" t="n">
        <v>2018</v>
      </c>
      <c r="B46" s="4" t="n">
        <v>4</v>
      </c>
      <c r="C46" s="4" t="s">
        <v>120</v>
      </c>
      <c r="D46" s="4" t="s">
        <v>93</v>
      </c>
      <c r="E46" s="4" t="n">
        <v>20</v>
      </c>
      <c r="F46" s="4" t="s">
        <v>118</v>
      </c>
      <c r="G46" s="8" t="n">
        <v>0.1734</v>
      </c>
      <c r="H46" s="4" t="s">
        <v>118</v>
      </c>
      <c r="I46" s="8" t="n">
        <v>0.2051</v>
      </c>
      <c r="J46" s="4" t="s">
        <v>94</v>
      </c>
      <c r="K46" s="8" t="n">
        <v>0.1588</v>
      </c>
      <c r="L46" s="8" t="n">
        <v>0.1937</v>
      </c>
      <c r="M46" s="4" t="n">
        <f aca="false">IF(F46=J46,1,0)</f>
        <v>0</v>
      </c>
      <c r="N46" s="4" t="n">
        <f aca="false">IF(H46=J46,1,0)</f>
        <v>0</v>
      </c>
      <c r="O46" s="7" t="n">
        <f aca="false">-LN(K46)</f>
        <v>1.8401097301691</v>
      </c>
      <c r="P46" s="7" t="n">
        <f aca="false">-LN(L46)</f>
        <v>1.64144470856919</v>
      </c>
      <c r="Q46" s="7" t="n">
        <f aca="false">LN(E46)</f>
        <v>2.99573227355399</v>
      </c>
      <c r="R46" s="4" t="n">
        <v>1</v>
      </c>
      <c r="S46" s="4" t="n">
        <v>1</v>
      </c>
    </row>
    <row r="47" customFormat="false" ht="15" hidden="false" customHeight="false" outlineLevel="0" collapsed="false">
      <c r="A47" s="4" t="n">
        <v>2018</v>
      </c>
      <c r="B47" s="4" t="n">
        <v>5</v>
      </c>
      <c r="C47" s="4" t="s">
        <v>99</v>
      </c>
      <c r="D47" s="4" t="s">
        <v>93</v>
      </c>
      <c r="E47" s="4" t="n">
        <v>20</v>
      </c>
      <c r="F47" s="4" t="s">
        <v>94</v>
      </c>
      <c r="G47" s="8" t="n">
        <v>0.1782</v>
      </c>
      <c r="H47" s="4" t="s">
        <v>94</v>
      </c>
      <c r="I47" s="8" t="n">
        <v>0.2234</v>
      </c>
      <c r="J47" s="4" t="s">
        <v>94</v>
      </c>
      <c r="K47" s="8" t="n">
        <v>0.1782</v>
      </c>
      <c r="L47" s="8" t="n">
        <v>0.2234</v>
      </c>
      <c r="M47" s="4" t="n">
        <f aca="false">IF(F47=J47,1,0)</f>
        <v>1</v>
      </c>
      <c r="N47" s="4" t="n">
        <f aca="false">IF(H47=J47,1,0)</f>
        <v>1</v>
      </c>
      <c r="O47" s="7" t="n">
        <f aca="false">-LN(K47)</f>
        <v>1.72484876394543</v>
      </c>
      <c r="P47" s="7" t="n">
        <f aca="false">-LN(L47)</f>
        <v>1.49879139234704</v>
      </c>
      <c r="Q47" s="7" t="n">
        <f aca="false">LN(E47)</f>
        <v>2.99573227355399</v>
      </c>
      <c r="R47" s="4" t="n">
        <v>1</v>
      </c>
      <c r="S47" s="4" t="n">
        <v>1</v>
      </c>
    </row>
    <row r="48" customFormat="false" ht="15" hidden="false" customHeight="false" outlineLevel="0" collapsed="false">
      <c r="A48" s="4" t="n">
        <v>2018</v>
      </c>
      <c r="B48" s="4" t="n">
        <v>6</v>
      </c>
      <c r="C48" s="4" t="s">
        <v>101</v>
      </c>
      <c r="D48" s="4" t="s">
        <v>93</v>
      </c>
      <c r="E48" s="4" t="n">
        <v>20</v>
      </c>
      <c r="F48" s="4" t="s">
        <v>94</v>
      </c>
      <c r="G48" s="8" t="n">
        <v>0.2062</v>
      </c>
      <c r="H48" s="4" t="s">
        <v>94</v>
      </c>
      <c r="I48" s="8" t="n">
        <v>0.2701</v>
      </c>
      <c r="J48" s="4" t="s">
        <v>112</v>
      </c>
      <c r="K48" s="8" t="n">
        <v>0.0578</v>
      </c>
      <c r="L48" s="8" t="n">
        <v>0.0536</v>
      </c>
      <c r="M48" s="4" t="n">
        <f aca="false">IF(F48=J48,1,0)</f>
        <v>0</v>
      </c>
      <c r="N48" s="4" t="n">
        <f aca="false">IF(H48=J48,1,0)</f>
        <v>0</v>
      </c>
      <c r="O48" s="7" t="n">
        <f aca="false">-LN(K48)</f>
        <v>2.85076650330381</v>
      </c>
      <c r="P48" s="7" t="n">
        <f aca="false">-LN(L48)</f>
        <v>2.92620621090538</v>
      </c>
      <c r="Q48" s="7" t="n">
        <f aca="false">LN(E48)</f>
        <v>2.99573227355399</v>
      </c>
      <c r="R48" s="4" t="n">
        <v>2</v>
      </c>
      <c r="S48" s="4" t="n">
        <v>2</v>
      </c>
    </row>
    <row r="49" customFormat="false" ht="15" hidden="false" customHeight="false" outlineLevel="0" collapsed="false">
      <c r="A49" s="4" t="n">
        <v>2018</v>
      </c>
      <c r="B49" s="4" t="n">
        <v>7</v>
      </c>
      <c r="C49" s="4" t="s">
        <v>102</v>
      </c>
      <c r="D49" s="4" t="s">
        <v>93</v>
      </c>
      <c r="E49" s="4" t="n">
        <v>20</v>
      </c>
      <c r="F49" s="4" t="s">
        <v>94</v>
      </c>
      <c r="G49" s="8" t="n">
        <v>0.2129</v>
      </c>
      <c r="H49" s="4" t="s">
        <v>94</v>
      </c>
      <c r="I49" s="8" t="n">
        <v>0.2746</v>
      </c>
      <c r="J49" s="4" t="s">
        <v>118</v>
      </c>
      <c r="K49" s="8" t="n">
        <v>0.1531</v>
      </c>
      <c r="L49" s="8" t="n">
        <v>0.1769</v>
      </c>
      <c r="M49" s="4" t="n">
        <f aca="false">IF(F49=J49,1,0)</f>
        <v>0</v>
      </c>
      <c r="N49" s="4" t="n">
        <f aca="false">IF(H49=J49,1,0)</f>
        <v>0</v>
      </c>
      <c r="O49" s="7" t="n">
        <f aca="false">-LN(K49)</f>
        <v>1.8766639763185</v>
      </c>
      <c r="P49" s="7" t="n">
        <f aca="false">-LN(L49)</f>
        <v>1.7321706778164</v>
      </c>
      <c r="Q49" s="7" t="n">
        <f aca="false">LN(E49)</f>
        <v>2.99573227355399</v>
      </c>
      <c r="R49" s="4" t="n">
        <v>2</v>
      </c>
      <c r="S49" s="4" t="n">
        <v>2</v>
      </c>
    </row>
    <row r="50" customFormat="false" ht="15" hidden="false" customHeight="false" outlineLevel="0" collapsed="false">
      <c r="A50" s="4" t="n">
        <v>2018</v>
      </c>
      <c r="B50" s="4" t="n">
        <v>8</v>
      </c>
      <c r="C50" s="4" t="s">
        <v>121</v>
      </c>
      <c r="D50" s="4" t="s">
        <v>93</v>
      </c>
      <c r="E50" s="4" t="n">
        <v>20</v>
      </c>
      <c r="F50" s="4" t="s">
        <v>94</v>
      </c>
      <c r="G50" s="8" t="n">
        <v>0.2047</v>
      </c>
      <c r="H50" s="4" t="s">
        <v>94</v>
      </c>
      <c r="I50" s="8" t="n">
        <v>0.2576</v>
      </c>
      <c r="J50" s="4" t="s">
        <v>94</v>
      </c>
      <c r="K50" s="8" t="n">
        <v>0.2047</v>
      </c>
      <c r="L50" s="8" t="n">
        <v>0.2576</v>
      </c>
      <c r="M50" s="4" t="n">
        <f aca="false">IF(F50=J50,1,0)</f>
        <v>1</v>
      </c>
      <c r="N50" s="4" t="n">
        <f aca="false">IF(H50=J50,1,0)</f>
        <v>1</v>
      </c>
      <c r="O50" s="7" t="n">
        <f aca="false">-LN(K50)</f>
        <v>1.58620978631489</v>
      </c>
      <c r="P50" s="7" t="n">
        <f aca="false">-LN(L50)</f>
        <v>1.35634728475194</v>
      </c>
      <c r="Q50" s="7" t="n">
        <f aca="false">LN(E50)</f>
        <v>2.99573227355399</v>
      </c>
      <c r="R50" s="4" t="n">
        <v>1</v>
      </c>
      <c r="S50" s="4" t="n">
        <v>1</v>
      </c>
    </row>
    <row r="51" customFormat="false" ht="15" hidden="false" customHeight="false" outlineLevel="0" collapsed="false">
      <c r="A51" s="4" t="n">
        <v>2018</v>
      </c>
      <c r="B51" s="4" t="n">
        <v>9</v>
      </c>
      <c r="C51" s="4" t="s">
        <v>104</v>
      </c>
      <c r="D51" s="4" t="s">
        <v>93</v>
      </c>
      <c r="E51" s="4" t="n">
        <v>20</v>
      </c>
      <c r="F51" s="4" t="s">
        <v>94</v>
      </c>
      <c r="G51" s="8" t="n">
        <v>0.2184</v>
      </c>
      <c r="H51" s="4" t="s">
        <v>94</v>
      </c>
      <c r="I51" s="8" t="n">
        <v>0.2808</v>
      </c>
      <c r="J51" s="4" t="s">
        <v>100</v>
      </c>
      <c r="K51" s="8" t="n">
        <v>0.0601</v>
      </c>
      <c r="L51" s="8" t="n">
        <v>0.0547</v>
      </c>
      <c r="M51" s="4" t="n">
        <f aca="false">IF(F51=J51,1,0)</f>
        <v>0</v>
      </c>
      <c r="N51" s="4" t="n">
        <f aca="false">IF(H51=J51,1,0)</f>
        <v>0</v>
      </c>
      <c r="O51" s="7" t="n">
        <f aca="false">-LN(K51)</f>
        <v>2.81174543744098</v>
      </c>
      <c r="P51" s="7" t="n">
        <f aca="false">-LN(L51)</f>
        <v>2.9058915695542</v>
      </c>
      <c r="Q51" s="7" t="n">
        <f aca="false">LN(E51)</f>
        <v>2.99573227355399</v>
      </c>
      <c r="R51" s="4" t="n">
        <v>1</v>
      </c>
      <c r="S51" s="4" t="n">
        <v>1</v>
      </c>
    </row>
    <row r="52" customFormat="false" ht="15" hidden="false" customHeight="false" outlineLevel="0" collapsed="false">
      <c r="A52" s="4" t="n">
        <v>2018</v>
      </c>
      <c r="B52" s="4" t="n">
        <v>10</v>
      </c>
      <c r="C52" s="4" t="s">
        <v>105</v>
      </c>
      <c r="D52" s="4" t="s">
        <v>93</v>
      </c>
      <c r="E52" s="4" t="n">
        <v>20</v>
      </c>
      <c r="F52" s="4" t="s">
        <v>94</v>
      </c>
      <c r="G52" s="8" t="n">
        <v>0.1893</v>
      </c>
      <c r="H52" s="4" t="s">
        <v>94</v>
      </c>
      <c r="I52" s="8" t="n">
        <v>0.2309</v>
      </c>
      <c r="J52" s="4" t="s">
        <v>118</v>
      </c>
      <c r="K52" s="8" t="n">
        <v>0.1698</v>
      </c>
      <c r="L52" s="8" t="n">
        <v>0.209</v>
      </c>
      <c r="M52" s="4" t="n">
        <f aca="false">IF(F52=J52,1,0)</f>
        <v>0</v>
      </c>
      <c r="N52" s="4" t="n">
        <f aca="false">IF(H52=J52,1,0)</f>
        <v>0</v>
      </c>
      <c r="O52" s="7" t="n">
        <f aca="false">-LN(K52)</f>
        <v>1.77313400510489</v>
      </c>
      <c r="P52" s="7" t="n">
        <f aca="false">-LN(L52)</f>
        <v>1.56542102701733</v>
      </c>
      <c r="Q52" s="7" t="n">
        <f aca="false">LN(E52)</f>
        <v>2.99573227355399</v>
      </c>
      <c r="R52" s="4" t="n">
        <v>2</v>
      </c>
      <c r="S52" s="4" t="n">
        <v>3</v>
      </c>
    </row>
    <row r="53" customFormat="false" ht="15" hidden="false" customHeight="false" outlineLevel="0" collapsed="false">
      <c r="A53" s="4" t="n">
        <v>2018</v>
      </c>
      <c r="B53" s="4" t="n">
        <v>11</v>
      </c>
      <c r="C53" s="4" t="s">
        <v>107</v>
      </c>
      <c r="D53" s="4" t="s">
        <v>93</v>
      </c>
      <c r="E53" s="4" t="n">
        <v>20</v>
      </c>
      <c r="F53" s="4" t="s">
        <v>94</v>
      </c>
      <c r="G53" s="8" t="n">
        <v>0.1902</v>
      </c>
      <c r="H53" s="4" t="s">
        <v>94</v>
      </c>
      <c r="I53" s="8" t="n">
        <v>0.2345</v>
      </c>
      <c r="J53" s="4" t="s">
        <v>94</v>
      </c>
      <c r="K53" s="8" t="n">
        <v>0.1902</v>
      </c>
      <c r="L53" s="8" t="n">
        <v>0.2345</v>
      </c>
      <c r="M53" s="4" t="n">
        <f aca="false">IF(F53=J53,1,0)</f>
        <v>1</v>
      </c>
      <c r="N53" s="4" t="n">
        <f aca="false">IF(H53=J53,1,0)</f>
        <v>1</v>
      </c>
      <c r="O53" s="7" t="n">
        <f aca="false">-LN(K53)</f>
        <v>1.65967912887085</v>
      </c>
      <c r="P53" s="7" t="n">
        <f aca="false">-LN(L53)</f>
        <v>1.4502996910958</v>
      </c>
      <c r="Q53" s="7" t="n">
        <f aca="false">LN(E53)</f>
        <v>2.99573227355399</v>
      </c>
      <c r="R53" s="4" t="n">
        <v>2</v>
      </c>
      <c r="S53" s="4" t="n">
        <v>2</v>
      </c>
    </row>
    <row r="54" customFormat="false" ht="15" hidden="false" customHeight="false" outlineLevel="0" collapsed="false">
      <c r="A54" s="4" t="n">
        <v>2018</v>
      </c>
      <c r="B54" s="4" t="n">
        <v>12</v>
      </c>
      <c r="C54" s="4" t="s">
        <v>106</v>
      </c>
      <c r="D54" s="4" t="s">
        <v>93</v>
      </c>
      <c r="E54" s="4" t="n">
        <v>20</v>
      </c>
      <c r="F54" s="4" t="s">
        <v>94</v>
      </c>
      <c r="G54" s="8" t="n">
        <v>0.208</v>
      </c>
      <c r="H54" s="4" t="s">
        <v>94</v>
      </c>
      <c r="I54" s="8" t="n">
        <v>0.2721</v>
      </c>
      <c r="J54" s="4" t="s">
        <v>94</v>
      </c>
      <c r="K54" s="8" t="n">
        <v>0.208</v>
      </c>
      <c r="L54" s="8" t="n">
        <v>0.2721</v>
      </c>
      <c r="M54" s="4" t="n">
        <f aca="false">IF(F54=J54,1,0)</f>
        <v>1</v>
      </c>
      <c r="N54" s="4" t="n">
        <f aca="false">IF(H54=J54,1,0)</f>
        <v>1</v>
      </c>
      <c r="O54" s="7" t="n">
        <f aca="false">-LN(K54)</f>
        <v>1.57021719928082</v>
      </c>
      <c r="P54" s="7" t="n">
        <f aca="false">-LN(L54)</f>
        <v>1.30158563319294</v>
      </c>
      <c r="Q54" s="7" t="n">
        <f aca="false">LN(E54)</f>
        <v>2.99573227355399</v>
      </c>
      <c r="R54" s="4" t="n">
        <v>3</v>
      </c>
      <c r="S54" s="4" t="n">
        <v>3</v>
      </c>
    </row>
    <row r="55" customFormat="false" ht="15" hidden="false" customHeight="false" outlineLevel="0" collapsed="false">
      <c r="A55" s="4" t="n">
        <v>2018</v>
      </c>
      <c r="B55" s="4" t="n">
        <v>13</v>
      </c>
      <c r="C55" s="4" t="s">
        <v>108</v>
      </c>
      <c r="D55" s="4" t="s">
        <v>93</v>
      </c>
      <c r="E55" s="4" t="n">
        <v>20</v>
      </c>
      <c r="F55" s="4" t="s">
        <v>94</v>
      </c>
      <c r="G55" s="8" t="n">
        <v>0.2236</v>
      </c>
      <c r="H55" s="4" t="s">
        <v>94</v>
      </c>
      <c r="I55" s="8" t="n">
        <v>0.2966</v>
      </c>
      <c r="J55" s="4" t="s">
        <v>118</v>
      </c>
      <c r="K55" s="8" t="n">
        <v>0.1655</v>
      </c>
      <c r="L55" s="8" t="n">
        <v>0.1941</v>
      </c>
      <c r="M55" s="4" t="n">
        <f aca="false">IF(F55=J55,1,0)</f>
        <v>0</v>
      </c>
      <c r="N55" s="4" t="n">
        <f aca="false">IF(H55=J55,1,0)</f>
        <v>0</v>
      </c>
      <c r="O55" s="7" t="n">
        <f aca="false">-LN(K55)</f>
        <v>1.79878408416502</v>
      </c>
      <c r="P55" s="7" t="n">
        <f aca="false">-LN(L55)</f>
        <v>1.63938178880717</v>
      </c>
      <c r="Q55" s="7" t="n">
        <f aca="false">LN(E55)</f>
        <v>2.99573227355399</v>
      </c>
      <c r="R55" s="4" t="n">
        <v>2</v>
      </c>
      <c r="S55" s="4" t="n">
        <v>2</v>
      </c>
    </row>
    <row r="56" customFormat="false" ht="15" hidden="false" customHeight="false" outlineLevel="0" collapsed="false">
      <c r="A56" s="4" t="n">
        <v>2018</v>
      </c>
      <c r="B56" s="4" t="n">
        <v>14</v>
      </c>
      <c r="C56" s="4" t="s">
        <v>109</v>
      </c>
      <c r="D56" s="4" t="s">
        <v>93</v>
      </c>
      <c r="E56" s="4" t="n">
        <v>20</v>
      </c>
      <c r="F56" s="4" t="s">
        <v>94</v>
      </c>
      <c r="G56" s="8" t="n">
        <v>0.2329</v>
      </c>
      <c r="H56" s="4" t="s">
        <v>94</v>
      </c>
      <c r="I56" s="8" t="n">
        <v>0.3089</v>
      </c>
      <c r="J56" s="4" t="s">
        <v>94</v>
      </c>
      <c r="K56" s="8" t="n">
        <v>0.2329</v>
      </c>
      <c r="L56" s="8" t="n">
        <v>0.3089</v>
      </c>
      <c r="M56" s="4" t="n">
        <f aca="false">IF(F56=J56,1,0)</f>
        <v>1</v>
      </c>
      <c r="N56" s="4" t="n">
        <f aca="false">IF(H56=J56,1,0)</f>
        <v>1</v>
      </c>
      <c r="O56" s="7" t="n">
        <f aca="false">-LN(K56)</f>
        <v>1.45714610209184</v>
      </c>
      <c r="P56" s="7" t="n">
        <f aca="false">-LN(L56)</f>
        <v>1.1747376790576</v>
      </c>
      <c r="Q56" s="7" t="n">
        <f aca="false">LN(E56)</f>
        <v>2.99573227355399</v>
      </c>
      <c r="R56" s="4" t="n">
        <v>2</v>
      </c>
      <c r="S56" s="4" t="n">
        <v>2</v>
      </c>
    </row>
    <row r="57" customFormat="false" ht="15" hidden="false" customHeight="false" outlineLevel="0" collapsed="false">
      <c r="A57" s="4" t="n">
        <v>2018</v>
      </c>
      <c r="B57" s="4" t="n">
        <v>15</v>
      </c>
      <c r="C57" s="4" t="s">
        <v>110</v>
      </c>
      <c r="D57" s="4" t="s">
        <v>93</v>
      </c>
      <c r="E57" s="4" t="n">
        <v>20</v>
      </c>
      <c r="F57" s="4" t="s">
        <v>94</v>
      </c>
      <c r="G57" s="8" t="n">
        <v>0.2476</v>
      </c>
      <c r="H57" s="4" t="s">
        <v>94</v>
      </c>
      <c r="I57" s="8" t="n">
        <v>0.3339</v>
      </c>
      <c r="J57" s="4" t="s">
        <v>94</v>
      </c>
      <c r="K57" s="8" t="n">
        <v>0.2476</v>
      </c>
      <c r="L57" s="8" t="n">
        <v>0.3339</v>
      </c>
      <c r="M57" s="4" t="n">
        <f aca="false">IF(F57=J57,1,0)</f>
        <v>1</v>
      </c>
      <c r="N57" s="4" t="n">
        <f aca="false">IF(H57=J57,1,0)</f>
        <v>1</v>
      </c>
      <c r="O57" s="7" t="n">
        <f aca="false">-LN(K57)</f>
        <v>1.3959407381717</v>
      </c>
      <c r="P57" s="7" t="n">
        <f aca="false">-LN(L57)</f>
        <v>1.09691373203253</v>
      </c>
      <c r="Q57" s="7" t="n">
        <f aca="false">LN(E57)</f>
        <v>2.99573227355399</v>
      </c>
      <c r="R57" s="4" t="n">
        <v>2</v>
      </c>
      <c r="S57" s="4" t="n">
        <v>2</v>
      </c>
    </row>
    <row r="58" customFormat="false" ht="15" hidden="false" customHeight="false" outlineLevel="0" collapsed="false">
      <c r="A58" s="4" t="n">
        <v>2018</v>
      </c>
      <c r="B58" s="4" t="n">
        <v>16</v>
      </c>
      <c r="C58" s="4" t="s">
        <v>98</v>
      </c>
      <c r="D58" s="4" t="s">
        <v>93</v>
      </c>
      <c r="E58" s="4" t="n">
        <v>20</v>
      </c>
      <c r="F58" s="4" t="s">
        <v>94</v>
      </c>
      <c r="G58" s="8" t="n">
        <v>0.2552</v>
      </c>
      <c r="H58" s="4" t="s">
        <v>94</v>
      </c>
      <c r="I58" s="8" t="n">
        <v>0.3455</v>
      </c>
      <c r="J58" s="4" t="s">
        <v>94</v>
      </c>
      <c r="K58" s="8" t="n">
        <v>0.2552</v>
      </c>
      <c r="L58" s="8" t="n">
        <v>0.3455</v>
      </c>
      <c r="M58" s="4" t="n">
        <f aca="false">IF(F58=J58,1,0)</f>
        <v>1</v>
      </c>
      <c r="N58" s="4" t="n">
        <f aca="false">IF(H58=J58,1,0)</f>
        <v>1</v>
      </c>
      <c r="O58" s="7" t="n">
        <f aca="false">-LN(K58)</f>
        <v>1.3657077275115</v>
      </c>
      <c r="P58" s="7" t="n">
        <f aca="false">-LN(L58)</f>
        <v>1.06276263577441</v>
      </c>
      <c r="Q58" s="7" t="n">
        <f aca="false">LN(E58)</f>
        <v>2.99573227355399</v>
      </c>
      <c r="R58" s="4" t="n">
        <v>3</v>
      </c>
      <c r="S58" s="4" t="n">
        <v>3</v>
      </c>
    </row>
    <row r="59" customFormat="false" ht="15" hidden="false" customHeight="false" outlineLevel="0" collapsed="false">
      <c r="A59" s="4" t="n">
        <v>2018</v>
      </c>
      <c r="B59" s="4" t="n">
        <v>17</v>
      </c>
      <c r="C59" s="4" t="s">
        <v>113</v>
      </c>
      <c r="D59" s="4" t="s">
        <v>93</v>
      </c>
      <c r="E59" s="4" t="n">
        <v>20</v>
      </c>
      <c r="F59" s="4" t="s">
        <v>94</v>
      </c>
      <c r="G59" s="8" t="n">
        <v>0.2635</v>
      </c>
      <c r="H59" s="4" t="s">
        <v>94</v>
      </c>
      <c r="I59" s="8" t="n">
        <v>0.3584</v>
      </c>
      <c r="J59" s="4" t="s">
        <v>94</v>
      </c>
      <c r="K59" s="8" t="n">
        <v>0.2635</v>
      </c>
      <c r="L59" s="8" t="n">
        <v>0.3584</v>
      </c>
      <c r="M59" s="4" t="n">
        <f aca="false">IF(F59=J59,1,0)</f>
        <v>1</v>
      </c>
      <c r="N59" s="4" t="n">
        <f aca="false">IF(H59=J59,1,0)</f>
        <v>1</v>
      </c>
      <c r="O59" s="7" t="n">
        <f aca="false">-LN(K59)</f>
        <v>1.33370191100072</v>
      </c>
      <c r="P59" s="7" t="n">
        <f aca="false">-LN(L59)</f>
        <v>1.02610559788136</v>
      </c>
      <c r="Q59" s="7" t="n">
        <f aca="false">LN(E59)</f>
        <v>2.99573227355399</v>
      </c>
      <c r="R59" s="4" t="n">
        <v>2</v>
      </c>
      <c r="S59" s="4" t="n">
        <v>2</v>
      </c>
    </row>
    <row r="60" customFormat="false" ht="15" hidden="false" customHeight="false" outlineLevel="0" collapsed="false">
      <c r="A60" s="4" t="n">
        <v>2018</v>
      </c>
      <c r="B60" s="4" t="n">
        <v>18</v>
      </c>
      <c r="C60" s="4" t="s">
        <v>114</v>
      </c>
      <c r="D60" s="4" t="s">
        <v>93</v>
      </c>
      <c r="E60" s="4" t="n">
        <v>20</v>
      </c>
      <c r="F60" s="4" t="s">
        <v>94</v>
      </c>
      <c r="G60" s="8" t="n">
        <v>0.2736</v>
      </c>
      <c r="H60" s="4" t="s">
        <v>94</v>
      </c>
      <c r="I60" s="8" t="n">
        <v>0.3745</v>
      </c>
      <c r="J60" s="4" t="s">
        <v>122</v>
      </c>
      <c r="K60" s="8" t="n">
        <v>0.0901</v>
      </c>
      <c r="L60" s="8" t="n">
        <v>0.0791</v>
      </c>
      <c r="M60" s="4" t="n">
        <f aca="false">IF(F60=J60,1,0)</f>
        <v>0</v>
      </c>
      <c r="N60" s="4" t="n">
        <f aca="false">IF(H60=J60,1,0)</f>
        <v>0</v>
      </c>
      <c r="O60" s="7" t="n">
        <f aca="false">-LN(K60)</f>
        <v>2.40683511436785</v>
      </c>
      <c r="P60" s="7" t="n">
        <f aca="false">-LN(L60)</f>
        <v>2.53704240420853</v>
      </c>
      <c r="Q60" s="7" t="n">
        <f aca="false">LN(E60)</f>
        <v>2.99573227355399</v>
      </c>
      <c r="R60" s="4" t="n">
        <v>1</v>
      </c>
      <c r="S60" s="4" t="n">
        <v>1</v>
      </c>
    </row>
    <row r="61" customFormat="false" ht="15" hidden="false" customHeight="false" outlineLevel="0" collapsed="false">
      <c r="A61" s="4" t="n">
        <v>2018</v>
      </c>
      <c r="B61" s="4" t="n">
        <v>19</v>
      </c>
      <c r="C61" s="4" t="s">
        <v>115</v>
      </c>
      <c r="D61" s="4" t="s">
        <v>93</v>
      </c>
      <c r="E61" s="4" t="n">
        <v>20</v>
      </c>
      <c r="F61" s="4" t="s">
        <v>94</v>
      </c>
      <c r="G61" s="8" t="n">
        <v>0.2729</v>
      </c>
      <c r="H61" s="4" t="s">
        <v>94</v>
      </c>
      <c r="I61" s="8" t="n">
        <v>0.3656</v>
      </c>
      <c r="J61" s="4" t="s">
        <v>100</v>
      </c>
      <c r="K61" s="8" t="n">
        <v>0.0714</v>
      </c>
      <c r="L61" s="8" t="n">
        <v>0.0661</v>
      </c>
      <c r="M61" s="4" t="n">
        <f aca="false">IF(F61=J61,1,0)</f>
        <v>0</v>
      </c>
      <c r="N61" s="4" t="n">
        <f aca="false">IF(H61=J61,1,0)</f>
        <v>0</v>
      </c>
      <c r="O61" s="7" t="n">
        <f aca="false">-LN(K61)</f>
        <v>2.6394574096366</v>
      </c>
      <c r="P61" s="7" t="n">
        <f aca="false">-LN(L61)</f>
        <v>2.7165865321245</v>
      </c>
      <c r="Q61" s="7" t="n">
        <f aca="false">LN(E61)</f>
        <v>2.99573227355399</v>
      </c>
      <c r="R61" s="4" t="n">
        <v>1</v>
      </c>
      <c r="S61" s="4" t="n">
        <v>1</v>
      </c>
    </row>
    <row r="62" customFormat="false" ht="15" hidden="false" customHeight="false" outlineLevel="0" collapsed="false">
      <c r="A62" s="4" t="n">
        <v>2018</v>
      </c>
      <c r="B62" s="4" t="n">
        <v>20</v>
      </c>
      <c r="C62" s="4" t="s">
        <v>116</v>
      </c>
      <c r="D62" s="4" t="s">
        <v>93</v>
      </c>
      <c r="E62" s="4" t="n">
        <v>20</v>
      </c>
      <c r="F62" s="4" t="s">
        <v>94</v>
      </c>
      <c r="G62" s="8" t="n">
        <v>0.2671</v>
      </c>
      <c r="H62" s="4" t="s">
        <v>94</v>
      </c>
      <c r="I62" s="8" t="n">
        <v>0.3504</v>
      </c>
      <c r="J62" s="4" t="s">
        <v>94</v>
      </c>
      <c r="K62" s="8" t="n">
        <v>0.2671</v>
      </c>
      <c r="L62" s="8" t="n">
        <v>0.3504</v>
      </c>
      <c r="M62" s="4" t="n">
        <f aca="false">IF(F62=J62,1,0)</f>
        <v>1</v>
      </c>
      <c r="N62" s="4" t="n">
        <f aca="false">IF(H62=J62,1,0)</f>
        <v>1</v>
      </c>
      <c r="O62" s="7" t="n">
        <f aca="false">-LN(K62)</f>
        <v>1.32013215886622</v>
      </c>
      <c r="P62" s="7" t="n">
        <f aca="false">-LN(L62)</f>
        <v>1.0486799199199</v>
      </c>
      <c r="Q62" s="7" t="n">
        <f aca="false">LN(E62)</f>
        <v>2.99573227355399</v>
      </c>
      <c r="R62" s="4" t="n">
        <v>1</v>
      </c>
      <c r="S62" s="4" t="n">
        <v>1</v>
      </c>
    </row>
    <row r="63" customFormat="false" ht="15" hidden="false" customHeight="false" outlineLevel="0" collapsed="false">
      <c r="A63" s="4" t="n">
        <v>2018</v>
      </c>
      <c r="B63" s="4" t="n">
        <v>21</v>
      </c>
      <c r="C63" s="4" t="s">
        <v>117</v>
      </c>
      <c r="D63" s="4" t="s">
        <v>93</v>
      </c>
      <c r="E63" s="4" t="n">
        <v>20</v>
      </c>
      <c r="F63" s="4" t="s">
        <v>94</v>
      </c>
      <c r="G63" s="8" t="n">
        <v>0.2686</v>
      </c>
      <c r="H63" s="4" t="s">
        <v>94</v>
      </c>
      <c r="I63" s="8" t="n">
        <v>0.3557</v>
      </c>
      <c r="J63" s="4" t="s">
        <v>94</v>
      </c>
      <c r="K63" s="8" t="n">
        <v>0.2686</v>
      </c>
      <c r="L63" s="8" t="n">
        <v>0.3557</v>
      </c>
      <c r="M63" s="4" t="n">
        <f aca="false">IF(F63=J63,1,0)</f>
        <v>1</v>
      </c>
      <c r="N63" s="4" t="n">
        <f aca="false">IF(H63=J63,1,0)</f>
        <v>1</v>
      </c>
      <c r="O63" s="7" t="n">
        <f aca="false">-LN(K63)</f>
        <v>1.314531994893</v>
      </c>
      <c r="P63" s="7" t="n">
        <f aca="false">-LN(L63)</f>
        <v>1.03366760002773</v>
      </c>
      <c r="Q63" s="7" t="n">
        <f aca="false">LN(E63)</f>
        <v>2.99573227355399</v>
      </c>
      <c r="R63" s="4" t="n">
        <v>2</v>
      </c>
      <c r="S63" s="4" t="n">
        <v>2</v>
      </c>
    </row>
    <row r="64" customFormat="false" ht="15" hidden="false" customHeight="false" outlineLevel="0" collapsed="false">
      <c r="A64" s="4" t="n">
        <v>2019</v>
      </c>
      <c r="B64" s="4" t="n">
        <v>1</v>
      </c>
      <c r="C64" s="4" t="s">
        <v>92</v>
      </c>
      <c r="D64" s="4" t="s">
        <v>93</v>
      </c>
      <c r="E64" s="4" t="n">
        <v>20</v>
      </c>
      <c r="F64" s="4" t="s">
        <v>94</v>
      </c>
      <c r="G64" s="8" t="n">
        <v>0.1373</v>
      </c>
      <c r="H64" s="4" t="s">
        <v>94</v>
      </c>
      <c r="I64" s="8" t="n">
        <v>0.1679</v>
      </c>
      <c r="J64" s="4" t="s">
        <v>119</v>
      </c>
      <c r="K64" s="8" t="n">
        <v>0.1112</v>
      </c>
      <c r="L64" s="8" t="n">
        <v>0.1254</v>
      </c>
      <c r="M64" s="4" t="n">
        <f aca="false">IF(F64=J64,1,0)</f>
        <v>0</v>
      </c>
      <c r="N64" s="4" t="n">
        <f aca="false">IF(H64=J64,1,0)</f>
        <v>0</v>
      </c>
      <c r="O64" s="7" t="n">
        <f aca="false">-LN(K64)</f>
        <v>2.19642489716566</v>
      </c>
      <c r="P64" s="7" t="n">
        <f aca="false">-LN(L64)</f>
        <v>2.07624665078332</v>
      </c>
      <c r="Q64" s="7" t="n">
        <f aca="false">LN(E64)</f>
        <v>2.99573227355399</v>
      </c>
      <c r="R64" s="4" t="n">
        <v>2</v>
      </c>
      <c r="S64" s="4" t="n">
        <v>2</v>
      </c>
    </row>
    <row r="65" customFormat="false" ht="15" hidden="false" customHeight="false" outlineLevel="0" collapsed="false">
      <c r="A65" s="4" t="n">
        <v>2019</v>
      </c>
      <c r="B65" s="4" t="n">
        <v>2</v>
      </c>
      <c r="C65" s="4" t="s">
        <v>96</v>
      </c>
      <c r="D65" s="4" t="s">
        <v>93</v>
      </c>
      <c r="E65" s="4" t="n">
        <v>20</v>
      </c>
      <c r="F65" s="4" t="s">
        <v>94</v>
      </c>
      <c r="G65" s="8" t="n">
        <v>0.221</v>
      </c>
      <c r="H65" s="4" t="s">
        <v>94</v>
      </c>
      <c r="I65" s="8" t="n">
        <v>0.289</v>
      </c>
      <c r="J65" s="4" t="s">
        <v>94</v>
      </c>
      <c r="K65" s="8" t="n">
        <v>0.221</v>
      </c>
      <c r="L65" s="8" t="n">
        <v>0.289</v>
      </c>
      <c r="M65" s="4" t="n">
        <f aca="false">IF(F65=J65,1,0)</f>
        <v>1</v>
      </c>
      <c r="N65" s="4" t="n">
        <f aca="false">IF(H65=J65,1,0)</f>
        <v>1</v>
      </c>
      <c r="O65" s="7" t="n">
        <f aca="false">-LN(K65)</f>
        <v>1.50959257746438</v>
      </c>
      <c r="P65" s="7" t="n">
        <f aca="false">-LN(L65)</f>
        <v>1.24132859086971</v>
      </c>
      <c r="Q65" s="7" t="n">
        <f aca="false">LN(E65)</f>
        <v>2.99573227355399</v>
      </c>
      <c r="R65" s="4" t="n">
        <v>2</v>
      </c>
      <c r="S65" s="4" t="n">
        <v>2</v>
      </c>
    </row>
    <row r="66" customFormat="false" ht="15" hidden="false" customHeight="false" outlineLevel="0" collapsed="false">
      <c r="A66" s="4" t="n">
        <v>2019</v>
      </c>
      <c r="B66" s="4" t="n">
        <v>3</v>
      </c>
      <c r="C66" s="4" t="s">
        <v>97</v>
      </c>
      <c r="D66" s="4" t="s">
        <v>93</v>
      </c>
      <c r="E66" s="4" t="n">
        <v>20</v>
      </c>
      <c r="F66" s="4" t="s">
        <v>94</v>
      </c>
      <c r="G66" s="8" t="n">
        <v>0.2766</v>
      </c>
      <c r="H66" s="4" t="s">
        <v>94</v>
      </c>
      <c r="I66" s="8" t="n">
        <v>0.3534</v>
      </c>
      <c r="J66" s="4" t="s">
        <v>94</v>
      </c>
      <c r="K66" s="8" t="n">
        <v>0.2766</v>
      </c>
      <c r="L66" s="8" t="n">
        <v>0.3534</v>
      </c>
      <c r="M66" s="4" t="n">
        <f aca="false">IF(F66=J66,1,0)</f>
        <v>1</v>
      </c>
      <c r="N66" s="4" t="n">
        <f aca="false">IF(H66=J66,1,0)</f>
        <v>1</v>
      </c>
      <c r="O66" s="7" t="n">
        <f aca="false">-LN(K66)</f>
        <v>1.28518285975148</v>
      </c>
      <c r="P66" s="7" t="n">
        <f aca="false">-LN(L66)</f>
        <v>1.04015471909654</v>
      </c>
      <c r="Q66" s="7" t="n">
        <f aca="false">LN(E66)</f>
        <v>2.99573227355399</v>
      </c>
      <c r="R66" s="4" t="n">
        <v>3</v>
      </c>
      <c r="S66" s="4" t="n">
        <v>3</v>
      </c>
    </row>
    <row r="67" customFormat="false" ht="15" hidden="false" customHeight="false" outlineLevel="0" collapsed="false">
      <c r="A67" s="4" t="n">
        <v>2019</v>
      </c>
      <c r="B67" s="4" t="n">
        <v>4</v>
      </c>
      <c r="C67" s="4" t="s">
        <v>120</v>
      </c>
      <c r="D67" s="4" t="s">
        <v>93</v>
      </c>
      <c r="E67" s="4" t="n">
        <v>20</v>
      </c>
      <c r="F67" s="4" t="s">
        <v>94</v>
      </c>
      <c r="G67" s="8" t="n">
        <v>0.3085</v>
      </c>
      <c r="H67" s="4" t="s">
        <v>94</v>
      </c>
      <c r="I67" s="8" t="n">
        <v>0.3893</v>
      </c>
      <c r="J67" s="4" t="s">
        <v>119</v>
      </c>
      <c r="K67" s="8" t="n">
        <v>0.2431</v>
      </c>
      <c r="L67" s="8" t="n">
        <v>0.2798</v>
      </c>
      <c r="M67" s="4" t="n">
        <f aca="false">IF(F67=J67,1,0)</f>
        <v>0</v>
      </c>
      <c r="N67" s="4" t="n">
        <f aca="false">IF(H67=J67,1,0)</f>
        <v>0</v>
      </c>
      <c r="O67" s="7" t="n">
        <f aca="false">-LN(K67)</f>
        <v>1.41428239766006</v>
      </c>
      <c r="P67" s="7" t="n">
        <f aca="false">-LN(L67)</f>
        <v>1.27368021675076</v>
      </c>
      <c r="Q67" s="7" t="n">
        <f aca="false">LN(E67)</f>
        <v>2.99573227355399</v>
      </c>
      <c r="R67" s="4" t="n">
        <v>3</v>
      </c>
      <c r="S67" s="4" t="n">
        <v>3</v>
      </c>
    </row>
    <row r="68" customFormat="false" ht="15" hidden="false" customHeight="false" outlineLevel="0" collapsed="false">
      <c r="A68" s="4" t="n">
        <v>2019</v>
      </c>
      <c r="B68" s="4" t="n">
        <v>5</v>
      </c>
      <c r="C68" s="4" t="s">
        <v>99</v>
      </c>
      <c r="D68" s="4" t="s">
        <v>93</v>
      </c>
      <c r="E68" s="4" t="n">
        <v>20</v>
      </c>
      <c r="F68" s="4" t="s">
        <v>94</v>
      </c>
      <c r="G68" s="8" t="n">
        <v>0.3141</v>
      </c>
      <c r="H68" s="4" t="s">
        <v>94</v>
      </c>
      <c r="I68" s="8" t="n">
        <v>0.389</v>
      </c>
      <c r="J68" s="4" t="s">
        <v>94</v>
      </c>
      <c r="K68" s="8" t="n">
        <v>0.3141</v>
      </c>
      <c r="L68" s="8" t="n">
        <v>0.389</v>
      </c>
      <c r="M68" s="4" t="n">
        <f aca="false">IF(F68=J68,1,0)</f>
        <v>1</v>
      </c>
      <c r="N68" s="4" t="n">
        <f aca="false">IF(H68=J68,1,0)</f>
        <v>1</v>
      </c>
      <c r="O68" s="7" t="n">
        <f aca="false">-LN(K68)</f>
        <v>1.15804387243754</v>
      </c>
      <c r="P68" s="7" t="n">
        <f aca="false">-LN(L68)</f>
        <v>0.944175935363691</v>
      </c>
      <c r="Q68" s="7" t="n">
        <f aca="false">LN(E68)</f>
        <v>2.99573227355399</v>
      </c>
      <c r="R68" s="4" t="n">
        <v>2</v>
      </c>
      <c r="S68" s="4" t="n">
        <v>2</v>
      </c>
    </row>
    <row r="69" customFormat="false" ht="15" hidden="false" customHeight="false" outlineLevel="0" collapsed="false">
      <c r="A69" s="4" t="n">
        <v>2019</v>
      </c>
      <c r="B69" s="4" t="n">
        <v>6</v>
      </c>
      <c r="C69" s="4" t="s">
        <v>101</v>
      </c>
      <c r="D69" s="4" t="s">
        <v>93</v>
      </c>
      <c r="E69" s="4" t="n">
        <v>20</v>
      </c>
      <c r="F69" s="4" t="s">
        <v>94</v>
      </c>
      <c r="G69" s="8" t="n">
        <v>0.3301</v>
      </c>
      <c r="H69" s="4" t="s">
        <v>94</v>
      </c>
      <c r="I69" s="8" t="n">
        <v>0.4097</v>
      </c>
      <c r="J69" s="4" t="s">
        <v>94</v>
      </c>
      <c r="K69" s="8" t="n">
        <v>0.3301</v>
      </c>
      <c r="L69" s="8" t="n">
        <v>0.4097</v>
      </c>
      <c r="M69" s="4" t="n">
        <f aca="false">IF(F69=J69,1,0)</f>
        <v>1</v>
      </c>
      <c r="N69" s="4" t="n">
        <f aca="false">IF(H69=J69,1,0)</f>
        <v>1</v>
      </c>
      <c r="O69" s="7" t="n">
        <f aca="false">-LN(K69)</f>
        <v>1.10835964012299</v>
      </c>
      <c r="P69" s="7" t="n">
        <f aca="false">-LN(L69)</f>
        <v>0.892330094429312</v>
      </c>
      <c r="Q69" s="7" t="n">
        <f aca="false">LN(E69)</f>
        <v>2.99573227355399</v>
      </c>
      <c r="R69" s="4" t="n">
        <v>3</v>
      </c>
      <c r="S69" s="4" t="n">
        <v>3</v>
      </c>
    </row>
    <row r="70" customFormat="false" ht="15" hidden="false" customHeight="false" outlineLevel="0" collapsed="false">
      <c r="A70" s="4" t="n">
        <v>2019</v>
      </c>
      <c r="B70" s="4" t="n">
        <v>7</v>
      </c>
      <c r="C70" s="4" t="s">
        <v>102</v>
      </c>
      <c r="D70" s="4" t="s">
        <v>93</v>
      </c>
      <c r="E70" s="4" t="n">
        <v>20</v>
      </c>
      <c r="F70" s="4" t="s">
        <v>94</v>
      </c>
      <c r="G70" s="8" t="n">
        <v>0.3442</v>
      </c>
      <c r="H70" s="4" t="s">
        <v>94</v>
      </c>
      <c r="I70" s="8" t="n">
        <v>0.4299</v>
      </c>
      <c r="J70" s="4" t="s">
        <v>94</v>
      </c>
      <c r="K70" s="8" t="n">
        <v>0.3442</v>
      </c>
      <c r="L70" s="8" t="n">
        <v>0.4299</v>
      </c>
      <c r="M70" s="4" t="n">
        <f aca="false">IF(F70=J70,1,0)</f>
        <v>1</v>
      </c>
      <c r="N70" s="4" t="n">
        <f aca="false">IF(H70=J70,1,0)</f>
        <v>1</v>
      </c>
      <c r="O70" s="7" t="n">
        <f aca="false">-LN(K70)</f>
        <v>1.0665323952047</v>
      </c>
      <c r="P70" s="7" t="n">
        <f aca="false">-LN(L70)</f>
        <v>0.844202655479901</v>
      </c>
      <c r="Q70" s="7" t="n">
        <f aca="false">LN(E70)</f>
        <v>2.99573227355399</v>
      </c>
      <c r="R70" s="4" t="n">
        <v>2</v>
      </c>
      <c r="S70" s="4" t="n">
        <v>2</v>
      </c>
    </row>
    <row r="71" customFormat="false" ht="15" hidden="false" customHeight="false" outlineLevel="0" collapsed="false">
      <c r="A71" s="4" t="n">
        <v>2019</v>
      </c>
      <c r="B71" s="4" t="n">
        <v>8</v>
      </c>
      <c r="C71" s="4" t="s">
        <v>121</v>
      </c>
      <c r="D71" s="4" t="s">
        <v>93</v>
      </c>
      <c r="E71" s="4" t="n">
        <v>20</v>
      </c>
      <c r="F71" s="4" t="s">
        <v>94</v>
      </c>
      <c r="G71" s="8" t="n">
        <v>0.3533</v>
      </c>
      <c r="H71" s="4" t="s">
        <v>94</v>
      </c>
      <c r="I71" s="8" t="n">
        <v>0.444</v>
      </c>
      <c r="J71" s="4" t="s">
        <v>94</v>
      </c>
      <c r="K71" s="8" t="n">
        <v>0.3533</v>
      </c>
      <c r="L71" s="8" t="n">
        <v>0.444</v>
      </c>
      <c r="M71" s="4" t="n">
        <f aca="false">IF(F71=J71,1,0)</f>
        <v>1</v>
      </c>
      <c r="N71" s="4" t="n">
        <f aca="false">IF(H71=J71,1,0)</f>
        <v>1</v>
      </c>
      <c r="O71" s="7" t="n">
        <f aca="false">-LN(K71)</f>
        <v>1.04043772461704</v>
      </c>
      <c r="P71" s="7" t="n">
        <f aca="false">-LN(L71)</f>
        <v>0.811930716549912</v>
      </c>
      <c r="Q71" s="7" t="n">
        <f aca="false">LN(E71)</f>
        <v>2.99573227355399</v>
      </c>
      <c r="R71" s="4" t="n">
        <v>2</v>
      </c>
      <c r="S71" s="4" t="n">
        <v>2</v>
      </c>
    </row>
    <row r="72" customFormat="false" ht="15" hidden="false" customHeight="false" outlineLevel="0" collapsed="false">
      <c r="A72" s="4" t="n">
        <v>2019</v>
      </c>
      <c r="B72" s="4" t="n">
        <v>9</v>
      </c>
      <c r="C72" s="4" t="s">
        <v>104</v>
      </c>
      <c r="D72" s="4" t="s">
        <v>93</v>
      </c>
      <c r="E72" s="4" t="n">
        <v>20</v>
      </c>
      <c r="F72" s="4" t="s">
        <v>94</v>
      </c>
      <c r="G72" s="8" t="n">
        <v>0.3602</v>
      </c>
      <c r="H72" s="4" t="s">
        <v>94</v>
      </c>
      <c r="I72" s="8" t="n">
        <v>0.4561</v>
      </c>
      <c r="J72" s="4" t="s">
        <v>100</v>
      </c>
      <c r="K72" s="8" t="n">
        <v>0.0591</v>
      </c>
      <c r="L72" s="8" t="n">
        <v>0.0504</v>
      </c>
      <c r="M72" s="4" t="n">
        <f aca="false">IF(F72=J72,1,0)</f>
        <v>0</v>
      </c>
      <c r="N72" s="4" t="n">
        <f aca="false">IF(H72=J72,1,0)</f>
        <v>0</v>
      </c>
      <c r="O72" s="7" t="n">
        <f aca="false">-LN(K72)</f>
        <v>2.82852435457008</v>
      </c>
      <c r="P72" s="7" t="n">
        <f aca="false">-LN(L72)</f>
        <v>2.98776410390481</v>
      </c>
      <c r="Q72" s="7" t="n">
        <f aca="false">LN(E72)</f>
        <v>2.99573227355399</v>
      </c>
      <c r="R72" s="4" t="n">
        <v>1</v>
      </c>
      <c r="S72" s="4" t="n">
        <v>1</v>
      </c>
    </row>
    <row r="73" customFormat="false" ht="15" hidden="false" customHeight="false" outlineLevel="0" collapsed="false">
      <c r="A73" s="4" t="n">
        <v>2019</v>
      </c>
      <c r="B73" s="4" t="n">
        <v>10</v>
      </c>
      <c r="C73" s="4" t="s">
        <v>105</v>
      </c>
      <c r="D73" s="4" t="s">
        <v>93</v>
      </c>
      <c r="E73" s="4" t="n">
        <v>20</v>
      </c>
      <c r="F73" s="4" t="s">
        <v>94</v>
      </c>
      <c r="G73" s="8" t="n">
        <v>0.3388</v>
      </c>
      <c r="H73" s="4" t="s">
        <v>94</v>
      </c>
      <c r="I73" s="8" t="n">
        <v>0.4226</v>
      </c>
      <c r="J73" s="4" t="s">
        <v>94</v>
      </c>
      <c r="K73" s="8" t="n">
        <v>0.3388</v>
      </c>
      <c r="L73" s="8" t="n">
        <v>0.4226</v>
      </c>
      <c r="M73" s="4" t="n">
        <f aca="false">IF(F73=J73,1,0)</f>
        <v>1</v>
      </c>
      <c r="N73" s="4" t="n">
        <f aca="false">IF(H73=J73,1,0)</f>
        <v>1</v>
      </c>
      <c r="O73" s="7" t="n">
        <f aca="false">-LN(K73)</f>
        <v>1.08234531620424</v>
      </c>
      <c r="P73" s="7" t="n">
        <f aca="false">-LN(L73)</f>
        <v>0.861329173800181</v>
      </c>
      <c r="Q73" s="7" t="n">
        <f aca="false">LN(E73)</f>
        <v>2.99573227355399</v>
      </c>
      <c r="R73" s="4" t="n">
        <v>2</v>
      </c>
      <c r="S73" s="4" t="n">
        <v>2</v>
      </c>
    </row>
    <row r="74" customFormat="false" ht="15" hidden="false" customHeight="false" outlineLevel="0" collapsed="false">
      <c r="A74" s="4" t="n">
        <v>2019</v>
      </c>
      <c r="B74" s="4" t="n">
        <v>11</v>
      </c>
      <c r="C74" s="4" t="s">
        <v>107</v>
      </c>
      <c r="D74" s="4" t="s">
        <v>93</v>
      </c>
      <c r="E74" s="4" t="n">
        <v>20</v>
      </c>
      <c r="F74" s="4" t="s">
        <v>94</v>
      </c>
      <c r="G74" s="8" t="n">
        <v>0.3477</v>
      </c>
      <c r="H74" s="4" t="s">
        <v>94</v>
      </c>
      <c r="I74" s="8" t="n">
        <v>0.4416</v>
      </c>
      <c r="J74" s="4" t="s">
        <v>100</v>
      </c>
      <c r="K74" s="8" t="n">
        <v>0.0723</v>
      </c>
      <c r="L74" s="8" t="n">
        <v>0.0679</v>
      </c>
      <c r="M74" s="4" t="n">
        <f aca="false">IF(F74=J74,1,0)</f>
        <v>0</v>
      </c>
      <c r="N74" s="4" t="n">
        <f aca="false">IF(H74=J74,1,0)</f>
        <v>0</v>
      </c>
      <c r="O74" s="7" t="n">
        <f aca="false">-LN(K74)</f>
        <v>2.62693114981742</v>
      </c>
      <c r="P74" s="7" t="n">
        <f aca="false">-LN(L74)</f>
        <v>2.68971924441749</v>
      </c>
      <c r="Q74" s="7" t="n">
        <f aca="false">LN(E74)</f>
        <v>2.99573227355399</v>
      </c>
      <c r="R74" s="4" t="n">
        <v>1</v>
      </c>
      <c r="S74" s="4" t="n">
        <v>1</v>
      </c>
    </row>
    <row r="75" customFormat="false" ht="15" hidden="false" customHeight="false" outlineLevel="0" collapsed="false">
      <c r="A75" s="4" t="n">
        <v>2019</v>
      </c>
      <c r="B75" s="4" t="n">
        <v>12</v>
      </c>
      <c r="C75" s="4" t="s">
        <v>106</v>
      </c>
      <c r="D75" s="4" t="s">
        <v>93</v>
      </c>
      <c r="E75" s="4" t="n">
        <v>20</v>
      </c>
      <c r="F75" s="4" t="s">
        <v>94</v>
      </c>
      <c r="G75" s="8" t="n">
        <v>0.3212</v>
      </c>
      <c r="H75" s="4" t="s">
        <v>94</v>
      </c>
      <c r="I75" s="8" t="n">
        <v>0.4012</v>
      </c>
      <c r="J75" s="4" t="s">
        <v>94</v>
      </c>
      <c r="K75" s="8" t="n">
        <v>0.3212</v>
      </c>
      <c r="L75" s="8" t="n">
        <v>0.4012</v>
      </c>
      <c r="M75" s="4" t="n">
        <f aca="false">IF(F75=J75,1,0)</f>
        <v>1</v>
      </c>
      <c r="N75" s="4" t="n">
        <f aca="false">IF(H75=J75,1,0)</f>
        <v>1</v>
      </c>
      <c r="O75" s="7" t="n">
        <f aca="false">-LN(K75)</f>
        <v>1.13569129690953</v>
      </c>
      <c r="P75" s="7" t="n">
        <f aca="false">-LN(L75)</f>
        <v>0.913295222894357</v>
      </c>
      <c r="Q75" s="7" t="n">
        <f aca="false">LN(E75)</f>
        <v>2.99573227355399</v>
      </c>
      <c r="R75" s="4" t="n">
        <v>2</v>
      </c>
      <c r="S75" s="4" t="n">
        <v>2</v>
      </c>
    </row>
    <row r="76" customFormat="false" ht="15" hidden="false" customHeight="false" outlineLevel="0" collapsed="false">
      <c r="A76" s="4" t="n">
        <v>2019</v>
      </c>
      <c r="B76" s="4" t="n">
        <v>13</v>
      </c>
      <c r="C76" s="4" t="s">
        <v>108</v>
      </c>
      <c r="D76" s="4" t="s">
        <v>93</v>
      </c>
      <c r="E76" s="4" t="n">
        <v>20</v>
      </c>
      <c r="F76" s="4" t="s">
        <v>94</v>
      </c>
      <c r="G76" s="8" t="n">
        <v>0.3281</v>
      </c>
      <c r="H76" s="4" t="s">
        <v>94</v>
      </c>
      <c r="I76" s="8" t="n">
        <v>0.4184</v>
      </c>
      <c r="J76" s="4" t="s">
        <v>123</v>
      </c>
      <c r="K76" s="8" t="n">
        <v>0.0601</v>
      </c>
      <c r="L76" s="8" t="n">
        <v>0.0495</v>
      </c>
      <c r="M76" s="4" t="n">
        <f aca="false">IF(F76=J76,1,0)</f>
        <v>0</v>
      </c>
      <c r="N76" s="4" t="n">
        <f aca="false">IF(H76=J76,1,0)</f>
        <v>0</v>
      </c>
      <c r="O76" s="7" t="n">
        <f aca="false">-LN(K76)</f>
        <v>2.81174543744098</v>
      </c>
      <c r="P76" s="7" t="n">
        <f aca="false">-LN(L76)</f>
        <v>3.00578260940749</v>
      </c>
      <c r="Q76" s="7" t="n">
        <f aca="false">LN(E76)</f>
        <v>2.99573227355399</v>
      </c>
      <c r="R76" s="4" t="n">
        <v>2</v>
      </c>
      <c r="S76" s="4" t="n">
        <v>2</v>
      </c>
    </row>
    <row r="77" customFormat="false" ht="15" hidden="false" customHeight="false" outlineLevel="0" collapsed="false">
      <c r="A77" s="4" t="n">
        <v>2019</v>
      </c>
      <c r="B77" s="4" t="n">
        <v>14</v>
      </c>
      <c r="C77" s="4" t="s">
        <v>109</v>
      </c>
      <c r="D77" s="4" t="s">
        <v>93</v>
      </c>
      <c r="E77" s="4" t="n">
        <v>20</v>
      </c>
      <c r="F77" s="4" t="s">
        <v>94</v>
      </c>
      <c r="G77" s="8" t="n">
        <v>0.326</v>
      </c>
      <c r="H77" s="4" t="s">
        <v>94</v>
      </c>
      <c r="I77" s="8" t="n">
        <v>0.4211</v>
      </c>
      <c r="J77" s="4" t="s">
        <v>123</v>
      </c>
      <c r="K77" s="8" t="n">
        <v>0.0681</v>
      </c>
      <c r="L77" s="8" t="n">
        <v>0.0592</v>
      </c>
      <c r="M77" s="4" t="n">
        <f aca="false">IF(F77=J77,1,0)</f>
        <v>0</v>
      </c>
      <c r="N77" s="4" t="n">
        <f aca="false">IF(H77=J77,1,0)</f>
        <v>0</v>
      </c>
      <c r="O77" s="7" t="n">
        <f aca="false">-LN(K77)</f>
        <v>2.68677806582667</v>
      </c>
      <c r="P77" s="7" t="n">
        <f aca="false">-LN(L77)</f>
        <v>2.82683373709218</v>
      </c>
      <c r="Q77" s="7" t="n">
        <f aca="false">LN(E77)</f>
        <v>2.99573227355399</v>
      </c>
      <c r="R77" s="4" t="n">
        <v>2</v>
      </c>
      <c r="S77" s="4" t="n">
        <v>2</v>
      </c>
    </row>
    <row r="78" customFormat="false" ht="15" hidden="false" customHeight="false" outlineLevel="0" collapsed="false">
      <c r="A78" s="4" t="n">
        <v>2019</v>
      </c>
      <c r="B78" s="4" t="n">
        <v>15</v>
      </c>
      <c r="C78" s="4" t="s">
        <v>110</v>
      </c>
      <c r="D78" s="4" t="s">
        <v>93</v>
      </c>
      <c r="E78" s="4" t="n">
        <v>20</v>
      </c>
      <c r="F78" s="4" t="s">
        <v>94</v>
      </c>
      <c r="G78" s="8" t="n">
        <v>0.3212</v>
      </c>
      <c r="H78" s="4" t="s">
        <v>94</v>
      </c>
      <c r="I78" s="8" t="n">
        <v>0.4184</v>
      </c>
      <c r="J78" s="4" t="s">
        <v>118</v>
      </c>
      <c r="K78" s="8" t="n">
        <v>0.0953</v>
      </c>
      <c r="L78" s="8" t="n">
        <v>0.0936</v>
      </c>
      <c r="M78" s="4" t="n">
        <f aca="false">IF(F78=J78,1,0)</f>
        <v>0</v>
      </c>
      <c r="N78" s="4" t="n">
        <f aca="false">IF(H78=J78,1,0)</f>
        <v>0</v>
      </c>
      <c r="O78" s="7" t="n">
        <f aca="false">-LN(K78)</f>
        <v>2.35072546832198</v>
      </c>
      <c r="P78" s="7" t="n">
        <f aca="false">-LN(L78)</f>
        <v>2.36872489549859</v>
      </c>
      <c r="Q78" s="7" t="n">
        <f aca="false">LN(E78)</f>
        <v>2.99573227355399</v>
      </c>
      <c r="R78" s="4" t="n">
        <v>1</v>
      </c>
      <c r="S78" s="4" t="n">
        <v>1</v>
      </c>
    </row>
    <row r="79" customFormat="false" ht="15" hidden="false" customHeight="false" outlineLevel="0" collapsed="false">
      <c r="A79" s="4" t="n">
        <v>2019</v>
      </c>
      <c r="B79" s="4" t="n">
        <v>16</v>
      </c>
      <c r="C79" s="4" t="s">
        <v>98</v>
      </c>
      <c r="D79" s="4" t="s">
        <v>93</v>
      </c>
      <c r="E79" s="4" t="n">
        <v>20</v>
      </c>
      <c r="F79" s="4" t="s">
        <v>94</v>
      </c>
      <c r="G79" s="8" t="n">
        <v>0.309</v>
      </c>
      <c r="H79" s="4" t="s">
        <v>94</v>
      </c>
      <c r="I79" s="8" t="n">
        <v>0.3977</v>
      </c>
      <c r="J79" s="4" t="s">
        <v>94</v>
      </c>
      <c r="K79" s="8" t="n">
        <v>0.309</v>
      </c>
      <c r="L79" s="8" t="n">
        <v>0.3977</v>
      </c>
      <c r="M79" s="4" t="n">
        <f aca="false">IF(F79=J79,1,0)</f>
        <v>1</v>
      </c>
      <c r="N79" s="4" t="n">
        <f aca="false">IF(H79=J79,1,0)</f>
        <v>1</v>
      </c>
      <c r="O79" s="7" t="n">
        <f aca="false">-LN(K79)</f>
        <v>1.17441400208439</v>
      </c>
      <c r="P79" s="7" t="n">
        <f aca="false">-LN(L79)</f>
        <v>0.922057326768492</v>
      </c>
      <c r="Q79" s="7" t="n">
        <f aca="false">LN(E79)</f>
        <v>2.99573227355399</v>
      </c>
      <c r="R79" s="4" t="n">
        <v>2</v>
      </c>
      <c r="S79" s="4" t="n">
        <v>2</v>
      </c>
    </row>
    <row r="80" customFormat="false" ht="15" hidden="false" customHeight="false" outlineLevel="0" collapsed="false">
      <c r="A80" s="4" t="n">
        <v>2019</v>
      </c>
      <c r="B80" s="4" t="n">
        <v>17</v>
      </c>
      <c r="C80" s="4" t="s">
        <v>113</v>
      </c>
      <c r="D80" s="4" t="s">
        <v>93</v>
      </c>
      <c r="E80" s="4" t="n">
        <v>20</v>
      </c>
      <c r="F80" s="4" t="s">
        <v>94</v>
      </c>
      <c r="G80" s="8" t="n">
        <v>0.3207</v>
      </c>
      <c r="H80" s="4" t="s">
        <v>94</v>
      </c>
      <c r="I80" s="8" t="n">
        <v>0.424</v>
      </c>
      <c r="J80" s="4" t="s">
        <v>119</v>
      </c>
      <c r="K80" s="8" t="n">
        <v>0.1605</v>
      </c>
      <c r="L80" s="8" t="n">
        <v>0.1622</v>
      </c>
      <c r="M80" s="4" t="n">
        <f aca="false">IF(F80=J80,1,0)</f>
        <v>0</v>
      </c>
      <c r="N80" s="4" t="n">
        <f aca="false">IF(H80=J80,1,0)</f>
        <v>0</v>
      </c>
      <c r="O80" s="7" t="n">
        <f aca="false">-LN(K80)</f>
        <v>1.82946133641207</v>
      </c>
      <c r="P80" s="7" t="n">
        <f aca="false">-LN(L80)</f>
        <v>1.81892513730082</v>
      </c>
      <c r="Q80" s="7" t="n">
        <f aca="false">LN(E80)</f>
        <v>2.99573227355399</v>
      </c>
      <c r="R80" s="4" t="n">
        <v>3</v>
      </c>
      <c r="S80" s="4" t="n">
        <v>2</v>
      </c>
    </row>
    <row r="81" customFormat="false" ht="15" hidden="false" customHeight="false" outlineLevel="0" collapsed="false">
      <c r="A81" s="4" t="n">
        <v>2019</v>
      </c>
      <c r="B81" s="4" t="n">
        <v>18</v>
      </c>
      <c r="C81" s="4" t="s">
        <v>115</v>
      </c>
      <c r="D81" s="4" t="s">
        <v>93</v>
      </c>
      <c r="E81" s="4" t="n">
        <v>20</v>
      </c>
      <c r="F81" s="4" t="s">
        <v>94</v>
      </c>
      <c r="G81" s="8" t="n">
        <v>0.3141</v>
      </c>
      <c r="H81" s="4" t="s">
        <v>94</v>
      </c>
      <c r="I81" s="8" t="n">
        <v>0.4156</v>
      </c>
      <c r="J81" s="4" t="s">
        <v>94</v>
      </c>
      <c r="K81" s="8" t="n">
        <v>0.3141</v>
      </c>
      <c r="L81" s="8" t="n">
        <v>0.4156</v>
      </c>
      <c r="M81" s="4" t="n">
        <f aca="false">IF(F81=J81,1,0)</f>
        <v>1</v>
      </c>
      <c r="N81" s="4" t="n">
        <f aca="false">IF(H81=J81,1,0)</f>
        <v>1</v>
      </c>
      <c r="O81" s="7" t="n">
        <f aca="false">-LN(K81)</f>
        <v>1.15804387243754</v>
      </c>
      <c r="P81" s="7" t="n">
        <f aca="false">-LN(L81)</f>
        <v>0.878032019757065</v>
      </c>
      <c r="Q81" s="7" t="n">
        <f aca="false">LN(E81)</f>
        <v>2.99573227355399</v>
      </c>
      <c r="R81" s="4" t="n">
        <v>3</v>
      </c>
      <c r="S81" s="4" t="n">
        <v>3</v>
      </c>
    </row>
    <row r="82" customFormat="false" ht="15" hidden="false" customHeight="false" outlineLevel="0" collapsed="false">
      <c r="A82" s="4" t="n">
        <v>2019</v>
      </c>
      <c r="B82" s="4" t="n">
        <v>19</v>
      </c>
      <c r="C82" s="4" t="s">
        <v>114</v>
      </c>
      <c r="D82" s="4" t="s">
        <v>93</v>
      </c>
      <c r="E82" s="4" t="n">
        <v>20</v>
      </c>
      <c r="F82" s="4" t="s">
        <v>94</v>
      </c>
      <c r="G82" s="8" t="n">
        <v>0.3244</v>
      </c>
      <c r="H82" s="4" t="s">
        <v>94</v>
      </c>
      <c r="I82" s="8" t="n">
        <v>0.432</v>
      </c>
      <c r="J82" s="4" t="s">
        <v>119</v>
      </c>
      <c r="K82" s="8" t="n">
        <v>0.1626</v>
      </c>
      <c r="L82" s="8" t="n">
        <v>0.1658</v>
      </c>
      <c r="M82" s="4" t="n">
        <f aca="false">IF(F82=J82,1,0)</f>
        <v>0</v>
      </c>
      <c r="N82" s="4" t="n">
        <f aca="false">IF(H82=J82,1,0)</f>
        <v>0</v>
      </c>
      <c r="O82" s="7" t="n">
        <f aca="false">-LN(K82)</f>
        <v>1.81646208186843</v>
      </c>
      <c r="P82" s="7" t="n">
        <f aca="false">-LN(L82)</f>
        <v>1.79697303628094</v>
      </c>
      <c r="Q82" s="7" t="n">
        <f aca="false">LN(E82)</f>
        <v>2.99573227355399</v>
      </c>
      <c r="R82" s="4" t="n">
        <v>2</v>
      </c>
      <c r="S82" s="4" t="n">
        <v>2</v>
      </c>
    </row>
    <row r="83" customFormat="false" ht="15" hidden="false" customHeight="false" outlineLevel="0" collapsed="false">
      <c r="A83" s="4" t="n">
        <v>2019</v>
      </c>
      <c r="B83" s="4" t="n">
        <v>20</v>
      </c>
      <c r="C83" s="4" t="s">
        <v>116</v>
      </c>
      <c r="D83" s="4" t="s">
        <v>93</v>
      </c>
      <c r="E83" s="4" t="n">
        <v>20</v>
      </c>
      <c r="F83" s="4" t="s">
        <v>94</v>
      </c>
      <c r="G83" s="8" t="n">
        <v>0.3246</v>
      </c>
      <c r="H83" s="4" t="s">
        <v>94</v>
      </c>
      <c r="I83" s="8" t="n">
        <v>0.4336</v>
      </c>
      <c r="J83" s="4" t="s">
        <v>100</v>
      </c>
      <c r="K83" s="8" t="n">
        <v>0.0883</v>
      </c>
      <c r="L83" s="8" t="n">
        <v>0.0835</v>
      </c>
      <c r="M83" s="4" t="n">
        <f aca="false">IF(F83=J83,1,0)</f>
        <v>0</v>
      </c>
      <c r="N83" s="4" t="n">
        <f aca="false">IF(H83=J83,1,0)</f>
        <v>0</v>
      </c>
      <c r="O83" s="7" t="n">
        <f aca="false">-LN(K83)</f>
        <v>2.42701517137222</v>
      </c>
      <c r="P83" s="7" t="n">
        <f aca="false">-LN(L83)</f>
        <v>2.48290864712533</v>
      </c>
      <c r="Q83" s="7" t="n">
        <f aca="false">LN(E83)</f>
        <v>2.99573227355399</v>
      </c>
      <c r="R83" s="4" t="n">
        <v>0</v>
      </c>
      <c r="S83" s="4" t="n">
        <v>1</v>
      </c>
    </row>
    <row r="84" customFormat="false" ht="15" hidden="false" customHeight="false" outlineLevel="0" collapsed="false">
      <c r="A84" s="4" t="n">
        <v>2019</v>
      </c>
      <c r="B84" s="4" t="n">
        <v>21</v>
      </c>
      <c r="C84" s="4" t="s">
        <v>117</v>
      </c>
      <c r="D84" s="4" t="s">
        <v>93</v>
      </c>
      <c r="E84" s="4" t="n">
        <v>20</v>
      </c>
      <c r="F84" s="4" t="s">
        <v>94</v>
      </c>
      <c r="G84" s="8" t="n">
        <v>0.3146</v>
      </c>
      <c r="H84" s="4" t="s">
        <v>94</v>
      </c>
      <c r="I84" s="8" t="n">
        <v>0.4144</v>
      </c>
      <c r="J84" s="4" t="s">
        <v>94</v>
      </c>
      <c r="K84" s="8" t="n">
        <v>0.3146</v>
      </c>
      <c r="L84" s="8" t="n">
        <v>0.4144</v>
      </c>
      <c r="M84" s="4" t="n">
        <f aca="false">IF(F84=J84,1,0)</f>
        <v>1</v>
      </c>
      <c r="N84" s="4" t="n">
        <f aca="false">IF(H84=J84,1,0)</f>
        <v>1</v>
      </c>
      <c r="O84" s="7" t="n">
        <f aca="false">-LN(K84)</f>
        <v>1.15645328835796</v>
      </c>
      <c r="P84" s="7" t="n">
        <f aca="false">-LN(L84)</f>
        <v>0.880923588036864</v>
      </c>
      <c r="Q84" s="7" t="n">
        <f aca="false">LN(E84)</f>
        <v>2.99573227355399</v>
      </c>
      <c r="R84" s="4" t="n">
        <v>2</v>
      </c>
      <c r="S84" s="4" t="n">
        <v>2</v>
      </c>
    </row>
    <row r="85" customFormat="false" ht="15" hidden="false" customHeight="false" outlineLevel="0" collapsed="false">
      <c r="A85" s="4" t="n">
        <v>2020</v>
      </c>
      <c r="B85" s="4" t="n">
        <v>1</v>
      </c>
      <c r="C85" s="4" t="s">
        <v>104</v>
      </c>
      <c r="D85" s="4" t="s">
        <v>93</v>
      </c>
      <c r="E85" s="4" t="n">
        <v>23</v>
      </c>
      <c r="F85" s="4" t="s">
        <v>94</v>
      </c>
      <c r="G85" s="8" t="n">
        <v>0.1483</v>
      </c>
      <c r="H85" s="4" t="s">
        <v>94</v>
      </c>
      <c r="I85" s="8" t="n">
        <v>0.1867</v>
      </c>
      <c r="J85" s="4" t="s">
        <v>119</v>
      </c>
      <c r="K85" s="8" t="n">
        <v>0.1207</v>
      </c>
      <c r="L85" s="8" t="n">
        <v>0.1404</v>
      </c>
      <c r="M85" s="4" t="n">
        <f aca="false">IF(F85=J85,1,0)</f>
        <v>0</v>
      </c>
      <c r="N85" s="4" t="n">
        <f aca="false">IF(H85=J85,1,0)</f>
        <v>0</v>
      </c>
      <c r="O85" s="7" t="n">
        <f aca="false">-LN(K85)</f>
        <v>2.11444715087865</v>
      </c>
      <c r="P85" s="7" t="n">
        <f aca="false">-LN(L85)</f>
        <v>1.96325978739043</v>
      </c>
      <c r="Q85" s="7" t="n">
        <f aca="false">LN(E85)</f>
        <v>3.13549421592915</v>
      </c>
      <c r="R85" s="4" t="n">
        <v>1</v>
      </c>
      <c r="S85" s="4" t="n">
        <v>1</v>
      </c>
    </row>
    <row r="86" customFormat="false" ht="15" hidden="false" customHeight="false" outlineLevel="0" collapsed="false">
      <c r="A86" s="4" t="n">
        <v>2020</v>
      </c>
      <c r="B86" s="4" t="n">
        <v>2</v>
      </c>
      <c r="C86" s="4" t="s">
        <v>124</v>
      </c>
      <c r="D86" s="4" t="s">
        <v>93</v>
      </c>
      <c r="E86" s="4" t="n">
        <v>23</v>
      </c>
      <c r="F86" s="4" t="s">
        <v>94</v>
      </c>
      <c r="G86" s="8" t="n">
        <v>0.1945</v>
      </c>
      <c r="H86" s="4" t="s">
        <v>94</v>
      </c>
      <c r="I86" s="8" t="n">
        <v>0.2576</v>
      </c>
      <c r="J86" s="4" t="s">
        <v>94</v>
      </c>
      <c r="K86" s="8" t="n">
        <v>0.1945</v>
      </c>
      <c r="L86" s="8" t="n">
        <v>0.2576</v>
      </c>
      <c r="M86" s="4" t="n">
        <f aca="false">IF(F86=J86,1,0)</f>
        <v>1</v>
      </c>
      <c r="N86" s="4" t="n">
        <f aca="false">IF(H86=J86,1,0)</f>
        <v>1</v>
      </c>
      <c r="O86" s="7" t="n">
        <f aca="false">-LN(K86)</f>
        <v>1.63732311592364</v>
      </c>
      <c r="P86" s="7" t="n">
        <f aca="false">-LN(L86)</f>
        <v>1.35634728475194</v>
      </c>
      <c r="Q86" s="7" t="n">
        <f aca="false">LN(E86)</f>
        <v>3.13549421592915</v>
      </c>
      <c r="R86" s="4" t="n">
        <v>2</v>
      </c>
      <c r="S86" s="4" t="n">
        <v>2</v>
      </c>
    </row>
    <row r="87" customFormat="false" ht="15" hidden="false" customHeight="false" outlineLevel="0" collapsed="false">
      <c r="A87" s="4" t="n">
        <v>2020</v>
      </c>
      <c r="B87" s="4" t="n">
        <v>3</v>
      </c>
      <c r="C87" s="4" t="s">
        <v>106</v>
      </c>
      <c r="D87" s="4" t="s">
        <v>93</v>
      </c>
      <c r="E87" s="4" t="n">
        <v>23</v>
      </c>
      <c r="F87" s="4" t="s">
        <v>94</v>
      </c>
      <c r="G87" s="8" t="n">
        <v>0.2471</v>
      </c>
      <c r="H87" s="4" t="s">
        <v>94</v>
      </c>
      <c r="I87" s="8" t="n">
        <v>0.3269</v>
      </c>
      <c r="J87" s="4" t="s">
        <v>94</v>
      </c>
      <c r="K87" s="8" t="n">
        <v>0.2471</v>
      </c>
      <c r="L87" s="8" t="n">
        <v>0.3269</v>
      </c>
      <c r="M87" s="4" t="n">
        <f aca="false">IF(F87=J87,1,0)</f>
        <v>1</v>
      </c>
      <c r="N87" s="4" t="n">
        <f aca="false">IF(H87=J87,1,0)</f>
        <v>1</v>
      </c>
      <c r="O87" s="7" t="n">
        <f aca="false">-LN(K87)</f>
        <v>1.39796216598757</v>
      </c>
      <c r="P87" s="7" t="n">
        <f aca="false">-LN(L87)</f>
        <v>1.11810096525197</v>
      </c>
      <c r="Q87" s="7" t="n">
        <f aca="false">LN(E87)</f>
        <v>3.13549421592915</v>
      </c>
      <c r="R87" s="4" t="n">
        <v>2</v>
      </c>
      <c r="S87" s="4" t="n">
        <v>2</v>
      </c>
    </row>
    <row r="88" customFormat="false" ht="15" hidden="false" customHeight="false" outlineLevel="0" collapsed="false">
      <c r="A88" s="4" t="n">
        <v>2020</v>
      </c>
      <c r="B88" s="4" t="n">
        <v>4</v>
      </c>
      <c r="C88" s="4" t="s">
        <v>105</v>
      </c>
      <c r="D88" s="4" t="s">
        <v>93</v>
      </c>
      <c r="E88" s="4" t="n">
        <v>23</v>
      </c>
      <c r="F88" s="4" t="s">
        <v>94</v>
      </c>
      <c r="G88" s="8" t="n">
        <v>0.2833</v>
      </c>
      <c r="H88" s="4" t="s">
        <v>94</v>
      </c>
      <c r="I88" s="8" t="n">
        <v>0.3722</v>
      </c>
      <c r="J88" s="4" t="s">
        <v>94</v>
      </c>
      <c r="K88" s="8" t="n">
        <v>0.2833</v>
      </c>
      <c r="L88" s="8" t="n">
        <v>0.3722</v>
      </c>
      <c r="M88" s="4" t="n">
        <f aca="false">IF(F88=J88,1,0)</f>
        <v>1</v>
      </c>
      <c r="N88" s="4" t="n">
        <f aca="false">IF(H88=J88,1,0)</f>
        <v>1</v>
      </c>
      <c r="O88" s="7" t="n">
        <f aca="false">-LN(K88)</f>
        <v>1.26124887214567</v>
      </c>
      <c r="P88" s="7" t="n">
        <f aca="false">-LN(L88)</f>
        <v>0.988323934773987</v>
      </c>
      <c r="Q88" s="7" t="n">
        <f aca="false">LN(E88)</f>
        <v>3.13549421592915</v>
      </c>
      <c r="R88" s="4" t="n">
        <v>2</v>
      </c>
      <c r="S88" s="4" t="n">
        <v>2</v>
      </c>
    </row>
    <row r="89" customFormat="false" ht="15" hidden="false" customHeight="false" outlineLevel="0" collapsed="false">
      <c r="A89" s="4" t="n">
        <v>2020</v>
      </c>
      <c r="B89" s="4" t="n">
        <v>5</v>
      </c>
      <c r="C89" s="4" t="s">
        <v>125</v>
      </c>
      <c r="D89" s="4" t="s">
        <v>93</v>
      </c>
      <c r="E89" s="4" t="n">
        <v>23</v>
      </c>
      <c r="F89" s="4" t="s">
        <v>94</v>
      </c>
      <c r="G89" s="8" t="n">
        <v>0.3027</v>
      </c>
      <c r="H89" s="4" t="s">
        <v>94</v>
      </c>
      <c r="I89" s="8" t="n">
        <v>0.403</v>
      </c>
      <c r="J89" s="4" t="s">
        <v>100</v>
      </c>
      <c r="K89" s="8" t="n">
        <v>0.0622</v>
      </c>
      <c r="L89" s="8" t="n">
        <v>0.0595</v>
      </c>
      <c r="M89" s="4" t="n">
        <f aca="false">IF(F89=J89,1,0)</f>
        <v>0</v>
      </c>
      <c r="N89" s="4" t="n">
        <f aca="false">IF(H89=J89,1,0)</f>
        <v>0</v>
      </c>
      <c r="O89" s="7" t="n">
        <f aca="false">-LN(K89)</f>
        <v>2.777400279237</v>
      </c>
      <c r="P89" s="7" t="n">
        <f aca="false">-LN(L89)</f>
        <v>2.82177896643055</v>
      </c>
      <c r="Q89" s="7" t="n">
        <f aca="false">LN(E89)</f>
        <v>3.13549421592915</v>
      </c>
      <c r="R89" s="4" t="n">
        <v>3</v>
      </c>
      <c r="S89" s="4" t="n">
        <v>3</v>
      </c>
    </row>
    <row r="90" customFormat="false" ht="15" hidden="false" customHeight="false" outlineLevel="0" collapsed="false">
      <c r="A90" s="4" t="n">
        <v>2020</v>
      </c>
      <c r="B90" s="4" t="n">
        <v>6</v>
      </c>
      <c r="C90" s="4" t="s">
        <v>99</v>
      </c>
      <c r="D90" s="4" t="s">
        <v>93</v>
      </c>
      <c r="E90" s="4" t="n">
        <v>23</v>
      </c>
      <c r="F90" s="4" t="s">
        <v>94</v>
      </c>
      <c r="G90" s="8" t="n">
        <v>0.2999</v>
      </c>
      <c r="H90" s="4" t="s">
        <v>94</v>
      </c>
      <c r="I90" s="8" t="n">
        <v>0.3986</v>
      </c>
      <c r="J90" s="4" t="s">
        <v>94</v>
      </c>
      <c r="K90" s="8" t="n">
        <v>0.2999</v>
      </c>
      <c r="L90" s="8" t="n">
        <v>0.3986</v>
      </c>
      <c r="M90" s="4" t="n">
        <f aca="false">IF(F90=J90,1,0)</f>
        <v>1</v>
      </c>
      <c r="N90" s="4" t="n">
        <f aca="false">IF(H90=J90,1,0)</f>
        <v>1</v>
      </c>
      <c r="O90" s="7" t="n">
        <f aca="false">-LN(K90)</f>
        <v>1.20430619322717</v>
      </c>
      <c r="P90" s="7" t="n">
        <f aca="false">-LN(L90)</f>
        <v>0.919796871203443</v>
      </c>
      <c r="Q90" s="7" t="n">
        <f aca="false">LN(E90)</f>
        <v>3.13549421592915</v>
      </c>
      <c r="R90" s="4" t="n">
        <v>3</v>
      </c>
      <c r="S90" s="4" t="n">
        <v>3</v>
      </c>
    </row>
    <row r="91" customFormat="false" ht="15" hidden="false" customHeight="false" outlineLevel="0" collapsed="false">
      <c r="A91" s="4" t="n">
        <v>2020</v>
      </c>
      <c r="B91" s="4" t="n">
        <v>7</v>
      </c>
      <c r="C91" s="4" t="s">
        <v>108</v>
      </c>
      <c r="D91" s="4" t="s">
        <v>93</v>
      </c>
      <c r="E91" s="4" t="n">
        <v>23</v>
      </c>
      <c r="F91" s="4" t="s">
        <v>94</v>
      </c>
      <c r="G91" s="8" t="n">
        <v>0.3087</v>
      </c>
      <c r="H91" s="4" t="s">
        <v>94</v>
      </c>
      <c r="I91" s="8" t="n">
        <v>0.4142</v>
      </c>
      <c r="J91" s="4" t="s">
        <v>94</v>
      </c>
      <c r="K91" s="8" t="n">
        <v>0.3087</v>
      </c>
      <c r="L91" s="8" t="n">
        <v>0.4142</v>
      </c>
      <c r="M91" s="4" t="n">
        <f aca="false">IF(F91=J91,1,0)</f>
        <v>1</v>
      </c>
      <c r="N91" s="4" t="n">
        <f aca="false">IF(H91=J91,1,0)</f>
        <v>1</v>
      </c>
      <c r="O91" s="7" t="n">
        <f aca="false">-LN(K91)</f>
        <v>1.17538534747402</v>
      </c>
      <c r="P91" s="7" t="n">
        <f aca="false">-LN(L91)</f>
        <v>0.881406330020653</v>
      </c>
      <c r="Q91" s="7" t="n">
        <f aca="false">LN(E91)</f>
        <v>3.13549421592915</v>
      </c>
      <c r="R91" s="4" t="n">
        <v>3</v>
      </c>
      <c r="S91" s="4" t="n">
        <v>3</v>
      </c>
    </row>
    <row r="92" customFormat="false" ht="15" hidden="false" customHeight="false" outlineLevel="0" collapsed="false">
      <c r="A92" s="4" t="n">
        <v>2020</v>
      </c>
      <c r="B92" s="4" t="n">
        <v>8</v>
      </c>
      <c r="C92" s="4" t="s">
        <v>109</v>
      </c>
      <c r="D92" s="4" t="s">
        <v>93</v>
      </c>
      <c r="E92" s="4" t="n">
        <v>23</v>
      </c>
      <c r="F92" s="4" t="s">
        <v>94</v>
      </c>
      <c r="G92" s="8" t="n">
        <v>0.3216</v>
      </c>
      <c r="H92" s="4" t="s">
        <v>94</v>
      </c>
      <c r="I92" s="8" t="n">
        <v>0.4338</v>
      </c>
      <c r="J92" s="4" t="s">
        <v>126</v>
      </c>
      <c r="K92" s="8" t="n">
        <v>0.0167</v>
      </c>
      <c r="L92" s="8" t="n">
        <v>0.0108</v>
      </c>
      <c r="M92" s="4" t="n">
        <f aca="false">IF(F92=J92,1,0)</f>
        <v>0</v>
      </c>
      <c r="N92" s="4" t="n">
        <f aca="false">IF(H92=J92,1,0)</f>
        <v>0</v>
      </c>
      <c r="O92" s="7" t="n">
        <f aca="false">-LN(K92)</f>
        <v>4.09234655955943</v>
      </c>
      <c r="P92" s="7" t="n">
        <f aca="false">-LN(L92)</f>
        <v>4.52820914485196</v>
      </c>
      <c r="Q92" s="7" t="n">
        <f aca="false">LN(E92)</f>
        <v>3.13549421592915</v>
      </c>
      <c r="R92" s="4" t="n">
        <v>0</v>
      </c>
      <c r="S92" s="4" t="n">
        <v>0</v>
      </c>
    </row>
    <row r="93" customFormat="false" ht="15" hidden="false" customHeight="false" outlineLevel="0" collapsed="false">
      <c r="A93" s="4" t="n">
        <v>2020</v>
      </c>
      <c r="B93" s="4" t="n">
        <v>9</v>
      </c>
      <c r="C93" s="4" t="s">
        <v>127</v>
      </c>
      <c r="D93" s="4" t="s">
        <v>93</v>
      </c>
      <c r="E93" s="4" t="n">
        <v>23</v>
      </c>
      <c r="F93" s="4" t="s">
        <v>94</v>
      </c>
      <c r="G93" s="8" t="n">
        <v>0.3074</v>
      </c>
      <c r="H93" s="4" t="s">
        <v>94</v>
      </c>
      <c r="I93" s="8" t="n">
        <v>0.4115</v>
      </c>
      <c r="J93" s="4" t="s">
        <v>94</v>
      </c>
      <c r="K93" s="8" t="n">
        <v>0.3074</v>
      </c>
      <c r="L93" s="8" t="n">
        <v>0.4115</v>
      </c>
      <c r="M93" s="4" t="n">
        <f aca="false">IF(F93=J93,1,0)</f>
        <v>1</v>
      </c>
      <c r="N93" s="4" t="n">
        <f aca="false">IF(H93=J93,1,0)</f>
        <v>1</v>
      </c>
      <c r="O93" s="7" t="n">
        <f aca="false">-LN(K93)</f>
        <v>1.17960544787764</v>
      </c>
      <c r="P93" s="7" t="n">
        <f aca="false">-LN(L93)</f>
        <v>0.887946258865013</v>
      </c>
      <c r="Q93" s="7" t="n">
        <f aca="false">LN(E93)</f>
        <v>3.13549421592915</v>
      </c>
      <c r="R93" s="4" t="n">
        <v>2</v>
      </c>
      <c r="S93" s="4" t="n">
        <v>2</v>
      </c>
    </row>
    <row r="94" customFormat="false" ht="15" hidden="false" customHeight="false" outlineLevel="0" collapsed="false">
      <c r="A94" s="4" t="n">
        <v>2020</v>
      </c>
      <c r="B94" s="4" t="n">
        <v>10</v>
      </c>
      <c r="C94" s="4" t="s">
        <v>98</v>
      </c>
      <c r="D94" s="4" t="s">
        <v>93</v>
      </c>
      <c r="E94" s="4" t="n">
        <v>23</v>
      </c>
      <c r="F94" s="4" t="s">
        <v>94</v>
      </c>
      <c r="G94" s="8" t="n">
        <v>0.3201</v>
      </c>
      <c r="H94" s="4" t="s">
        <v>94</v>
      </c>
      <c r="I94" s="8" t="n">
        <v>0.4362</v>
      </c>
      <c r="J94" s="4" t="s">
        <v>119</v>
      </c>
      <c r="K94" s="8" t="n">
        <v>0.1799</v>
      </c>
      <c r="L94" s="8" t="n">
        <v>0.1961</v>
      </c>
      <c r="M94" s="4" t="n">
        <f aca="false">IF(F94=J94,1,0)</f>
        <v>0</v>
      </c>
      <c r="N94" s="4" t="n">
        <f aca="false">IF(H94=J94,1,0)</f>
        <v>0</v>
      </c>
      <c r="O94" s="7" t="n">
        <f aca="false">-LN(K94)</f>
        <v>1.71535413802565</v>
      </c>
      <c r="P94" s="7" t="n">
        <f aca="false">-LN(L94)</f>
        <v>1.62913054577984</v>
      </c>
      <c r="Q94" s="7" t="n">
        <f aca="false">LN(E94)</f>
        <v>3.13549421592915</v>
      </c>
      <c r="R94" s="4" t="n">
        <v>3</v>
      </c>
      <c r="S94" s="4" t="n">
        <v>3</v>
      </c>
    </row>
    <row r="95" customFormat="false" ht="15" hidden="false" customHeight="false" outlineLevel="0" collapsed="false">
      <c r="A95" s="4" t="n">
        <v>2020</v>
      </c>
      <c r="B95" s="4" t="n">
        <v>11</v>
      </c>
      <c r="C95" s="4" t="s">
        <v>128</v>
      </c>
      <c r="D95" s="4" t="s">
        <v>93</v>
      </c>
      <c r="E95" s="4" t="n">
        <v>23</v>
      </c>
      <c r="F95" s="4" t="s">
        <v>94</v>
      </c>
      <c r="G95" s="8" t="n">
        <v>0.3117</v>
      </c>
      <c r="H95" s="4" t="s">
        <v>94</v>
      </c>
      <c r="I95" s="8" t="n">
        <v>0.4211</v>
      </c>
      <c r="J95" s="4" t="s">
        <v>94</v>
      </c>
      <c r="K95" s="8" t="n">
        <v>0.3117</v>
      </c>
      <c r="L95" s="8" t="n">
        <v>0.4211</v>
      </c>
      <c r="M95" s="4" t="n">
        <f aca="false">IF(F95=J95,1,0)</f>
        <v>1</v>
      </c>
      <c r="N95" s="4" t="n">
        <f aca="false">IF(H95=J95,1,0)</f>
        <v>1</v>
      </c>
      <c r="O95" s="7" t="n">
        <f aca="false">-LN(K95)</f>
        <v>1.16571409220885</v>
      </c>
      <c r="P95" s="7" t="n">
        <f aca="false">-LN(L95)</f>
        <v>0.864884943814255</v>
      </c>
      <c r="Q95" s="7" t="n">
        <f aca="false">LN(E95)</f>
        <v>3.13549421592915</v>
      </c>
      <c r="R95" s="4" t="n">
        <v>2</v>
      </c>
      <c r="S95" s="4" t="n">
        <v>2</v>
      </c>
    </row>
    <row r="96" customFormat="false" ht="15" hidden="false" customHeight="false" outlineLevel="0" collapsed="false">
      <c r="A96" s="4" t="n">
        <v>2020</v>
      </c>
      <c r="B96" s="4" t="n">
        <v>12</v>
      </c>
      <c r="C96" s="4" t="s">
        <v>129</v>
      </c>
      <c r="D96" s="4" t="s">
        <v>93</v>
      </c>
      <c r="E96" s="4" t="n">
        <v>23</v>
      </c>
      <c r="F96" s="4" t="s">
        <v>94</v>
      </c>
      <c r="G96" s="8" t="n">
        <v>0.3254</v>
      </c>
      <c r="H96" s="4" t="s">
        <v>94</v>
      </c>
      <c r="I96" s="8" t="n">
        <v>0.4461</v>
      </c>
      <c r="J96" s="4" t="s">
        <v>94</v>
      </c>
      <c r="K96" s="8" t="n">
        <v>0.3254</v>
      </c>
      <c r="L96" s="8" t="n">
        <v>0.4461</v>
      </c>
      <c r="M96" s="4" t="n">
        <f aca="false">IF(F96=J96,1,0)</f>
        <v>1</v>
      </c>
      <c r="N96" s="4" t="n">
        <f aca="false">IF(H96=J96,1,0)</f>
        <v>1</v>
      </c>
      <c r="O96" s="7" t="n">
        <f aca="false">-LN(K96)</f>
        <v>1.1227000841972</v>
      </c>
      <c r="P96" s="7" t="n">
        <f aca="false">-LN(L96)</f>
        <v>0.807212136847918</v>
      </c>
      <c r="Q96" s="7" t="n">
        <f aca="false">LN(E96)</f>
        <v>3.13549421592915</v>
      </c>
      <c r="R96" s="4" t="n">
        <v>3</v>
      </c>
      <c r="S96" s="4" t="n">
        <v>3</v>
      </c>
    </row>
    <row r="97" customFormat="false" ht="15" hidden="false" customHeight="false" outlineLevel="0" collapsed="false">
      <c r="A97" s="4" t="n">
        <v>2020</v>
      </c>
      <c r="B97" s="4" t="n">
        <v>13</v>
      </c>
      <c r="C97" s="4" t="s">
        <v>130</v>
      </c>
      <c r="D97" s="4" t="s">
        <v>93</v>
      </c>
      <c r="E97" s="4" t="n">
        <v>23</v>
      </c>
      <c r="F97" s="4" t="s">
        <v>94</v>
      </c>
      <c r="G97" s="8" t="n">
        <v>0.3393</v>
      </c>
      <c r="H97" s="4" t="s">
        <v>94</v>
      </c>
      <c r="I97" s="8" t="n">
        <v>0.4686</v>
      </c>
      <c r="J97" s="4" t="s">
        <v>94</v>
      </c>
      <c r="K97" s="8" t="n">
        <v>0.3393</v>
      </c>
      <c r="L97" s="8" t="n">
        <v>0.4686</v>
      </c>
      <c r="M97" s="4" t="n">
        <f aca="false">IF(F97=J97,1,0)</f>
        <v>1</v>
      </c>
      <c r="N97" s="4" t="n">
        <f aca="false">IF(H97=J97,1,0)</f>
        <v>1</v>
      </c>
      <c r="O97" s="7" t="n">
        <f aca="false">-LN(K97)</f>
        <v>1.08087060719195</v>
      </c>
      <c r="P97" s="7" t="n">
        <f aca="false">-LN(L97)</f>
        <v>0.758005752908442</v>
      </c>
      <c r="Q97" s="7" t="n">
        <f aca="false">LN(E97)</f>
        <v>3.13549421592915</v>
      </c>
      <c r="R97" s="4" t="n">
        <v>2</v>
      </c>
      <c r="S97" s="4" t="n">
        <v>2</v>
      </c>
    </row>
    <row r="98" customFormat="false" ht="15" hidden="false" customHeight="false" outlineLevel="0" collapsed="false">
      <c r="A98" s="4" t="n">
        <v>2020</v>
      </c>
      <c r="B98" s="4" t="n">
        <v>14</v>
      </c>
      <c r="C98" s="4" t="s">
        <v>131</v>
      </c>
      <c r="D98" s="4" t="s">
        <v>93</v>
      </c>
      <c r="E98" s="4" t="n">
        <v>23</v>
      </c>
      <c r="F98" s="4" t="s">
        <v>94</v>
      </c>
      <c r="G98" s="8" t="n">
        <v>0.3576</v>
      </c>
      <c r="H98" s="4" t="s">
        <v>94</v>
      </c>
      <c r="I98" s="8" t="n">
        <v>0.4975</v>
      </c>
      <c r="J98" s="4" t="s">
        <v>94</v>
      </c>
      <c r="K98" s="8" t="n">
        <v>0.3576</v>
      </c>
      <c r="L98" s="8" t="n">
        <v>0.4975</v>
      </c>
      <c r="M98" s="4" t="n">
        <f aca="false">IF(F98=J98,1,0)</f>
        <v>1</v>
      </c>
      <c r="N98" s="4" t="n">
        <f aca="false">IF(H98=J98,1,0)</f>
        <v>1</v>
      </c>
      <c r="O98" s="7" t="n">
        <f aca="false">-LN(K98)</f>
        <v>1.02834023568278</v>
      </c>
      <c r="P98" s="7" t="n">
        <f aca="false">-LN(L98)</f>
        <v>0.69815972238349</v>
      </c>
      <c r="Q98" s="7" t="n">
        <f aca="false">LN(E98)</f>
        <v>3.13549421592915</v>
      </c>
      <c r="R98" s="4" t="n">
        <v>1</v>
      </c>
      <c r="S98" s="4" t="n">
        <v>1</v>
      </c>
    </row>
    <row r="99" customFormat="false" ht="15" hidden="false" customHeight="false" outlineLevel="0" collapsed="false">
      <c r="A99" s="4" t="n">
        <v>2020</v>
      </c>
      <c r="B99" s="4" t="n">
        <v>15</v>
      </c>
      <c r="C99" s="4" t="s">
        <v>96</v>
      </c>
      <c r="D99" s="4" t="s">
        <v>93</v>
      </c>
      <c r="E99" s="4" t="n">
        <v>23</v>
      </c>
      <c r="F99" s="4" t="s">
        <v>94</v>
      </c>
      <c r="G99" s="8" t="n">
        <v>0.364</v>
      </c>
      <c r="H99" s="4" t="s">
        <v>94</v>
      </c>
      <c r="I99" s="8" t="n">
        <v>0.5066</v>
      </c>
      <c r="J99" s="4" t="s">
        <v>94</v>
      </c>
      <c r="K99" s="8" t="n">
        <v>0.364</v>
      </c>
      <c r="L99" s="8" t="n">
        <v>0.5066</v>
      </c>
      <c r="M99" s="4" t="n">
        <f aca="false">IF(F99=J99,1,0)</f>
        <v>1</v>
      </c>
      <c r="N99" s="4" t="n">
        <f aca="false">IF(H99=J99,1,0)</f>
        <v>1</v>
      </c>
      <c r="O99" s="7" t="n">
        <f aca="false">-LN(K99)</f>
        <v>1.0106014113454</v>
      </c>
      <c r="P99" s="7" t="n">
        <f aca="false">-LN(L99)</f>
        <v>0.680033541414562</v>
      </c>
      <c r="Q99" s="7" t="n">
        <f aca="false">LN(E99)</f>
        <v>3.13549421592915</v>
      </c>
      <c r="R99" s="4" t="n">
        <v>2</v>
      </c>
      <c r="S99" s="4" t="n">
        <v>2</v>
      </c>
    </row>
    <row r="100" customFormat="false" ht="15" hidden="false" customHeight="false" outlineLevel="0" collapsed="false">
      <c r="A100" s="4" t="n">
        <v>2020</v>
      </c>
      <c r="B100" s="4" t="n">
        <v>16</v>
      </c>
      <c r="C100" s="4" t="s">
        <v>132</v>
      </c>
      <c r="D100" s="4" t="s">
        <v>93</v>
      </c>
      <c r="E100" s="4" t="n">
        <v>23</v>
      </c>
      <c r="F100" s="4" t="s">
        <v>94</v>
      </c>
      <c r="G100" s="8" t="n">
        <v>0.3613</v>
      </c>
      <c r="H100" s="4" t="s">
        <v>94</v>
      </c>
      <c r="I100" s="8" t="n">
        <v>0.5001</v>
      </c>
      <c r="J100" s="4" t="s">
        <v>133</v>
      </c>
      <c r="K100" s="8" t="n">
        <v>0.0378</v>
      </c>
      <c r="L100" s="8" t="n">
        <v>0.0294</v>
      </c>
      <c r="M100" s="4" t="n">
        <f aca="false">IF(F100=J100,1,0)</f>
        <v>0</v>
      </c>
      <c r="N100" s="4" t="n">
        <f aca="false">IF(H100=J100,1,0)</f>
        <v>0</v>
      </c>
      <c r="O100" s="7" t="n">
        <f aca="false">-LN(K100)</f>
        <v>3.2754461763566</v>
      </c>
      <c r="P100" s="7" t="n">
        <f aca="false">-LN(L100)</f>
        <v>3.5267606046375</v>
      </c>
      <c r="Q100" s="7" t="n">
        <f aca="false">LN(E100)</f>
        <v>3.13549421592915</v>
      </c>
      <c r="R100" s="4" t="n">
        <v>0</v>
      </c>
      <c r="S100" s="4" t="n">
        <v>0</v>
      </c>
    </row>
    <row r="101" customFormat="false" ht="15" hidden="false" customHeight="false" outlineLevel="0" collapsed="false">
      <c r="A101" s="4" t="n">
        <v>2020</v>
      </c>
      <c r="B101" s="4" t="n">
        <v>17</v>
      </c>
      <c r="C101" s="4" t="s">
        <v>117</v>
      </c>
      <c r="D101" s="4" t="s">
        <v>93</v>
      </c>
      <c r="E101" s="4" t="n">
        <v>23</v>
      </c>
      <c r="F101" s="4" t="s">
        <v>94</v>
      </c>
      <c r="G101" s="8" t="n">
        <v>0.3438</v>
      </c>
      <c r="H101" s="4" t="s">
        <v>94</v>
      </c>
      <c r="I101" s="8" t="n">
        <v>0.4705</v>
      </c>
      <c r="J101" s="4" t="s">
        <v>100</v>
      </c>
      <c r="K101" s="8" t="n">
        <v>0.0782</v>
      </c>
      <c r="L101" s="8" t="n">
        <v>0.0783</v>
      </c>
      <c r="M101" s="4" t="n">
        <f aca="false">IF(F101=J101,1,0)</f>
        <v>0</v>
      </c>
      <c r="N101" s="4" t="n">
        <f aca="false">IF(H101=J101,1,0)</f>
        <v>0</v>
      </c>
      <c r="O101" s="7" t="n">
        <f aca="false">-LN(K101)</f>
        <v>2.54848563143087</v>
      </c>
      <c r="P101" s="7" t="n">
        <f aca="false">-LN(L101)</f>
        <v>2.54720767598538</v>
      </c>
      <c r="Q101" s="7" t="n">
        <f aca="false">LN(E101)</f>
        <v>3.13549421592915</v>
      </c>
      <c r="R101" s="4" t="n">
        <v>3</v>
      </c>
      <c r="S101" s="4" t="n">
        <v>3</v>
      </c>
    </row>
    <row r="102" customFormat="false" ht="15" hidden="false" customHeight="false" outlineLevel="0" collapsed="false">
      <c r="A102" s="4" t="n">
        <v>2021</v>
      </c>
      <c r="B102" s="4" t="n">
        <v>1</v>
      </c>
      <c r="C102" s="4" t="s">
        <v>96</v>
      </c>
      <c r="D102" s="4" t="s">
        <v>93</v>
      </c>
      <c r="E102" s="4" t="n">
        <v>21</v>
      </c>
      <c r="F102" s="4" t="s">
        <v>94</v>
      </c>
      <c r="G102" s="8" t="n">
        <v>0.1681</v>
      </c>
      <c r="H102" s="4" t="s">
        <v>94</v>
      </c>
      <c r="I102" s="8" t="n">
        <v>0.2154</v>
      </c>
      <c r="J102" s="4" t="s">
        <v>94</v>
      </c>
      <c r="K102" s="8" t="n">
        <v>0.1681</v>
      </c>
      <c r="L102" s="8" t="n">
        <v>0.2154</v>
      </c>
      <c r="M102" s="4" t="n">
        <f aca="false">IF(F102=J102,1,0)</f>
        <v>1</v>
      </c>
      <c r="N102" s="4" t="n">
        <f aca="false">IF(H102=J102,1,0)</f>
        <v>1</v>
      </c>
      <c r="O102" s="7" t="n">
        <f aca="false">-LN(K102)</f>
        <v>1.78319623856757</v>
      </c>
      <c r="P102" s="7" t="n">
        <f aca="false">-LN(L102)</f>
        <v>1.53525851425985</v>
      </c>
      <c r="Q102" s="7" t="n">
        <f aca="false">LN(E102)</f>
        <v>3.04452243772342</v>
      </c>
      <c r="R102" s="4" t="n">
        <v>3</v>
      </c>
      <c r="S102" s="4" t="n">
        <v>3</v>
      </c>
    </row>
    <row r="103" customFormat="false" ht="15" hidden="false" customHeight="false" outlineLevel="0" collapsed="false">
      <c r="A103" s="4" t="n">
        <v>2021</v>
      </c>
      <c r="B103" s="4" t="n">
        <v>2</v>
      </c>
      <c r="C103" s="4" t="s">
        <v>130</v>
      </c>
      <c r="D103" s="4" t="s">
        <v>93</v>
      </c>
      <c r="E103" s="4" t="n">
        <v>21</v>
      </c>
      <c r="F103" s="4" t="s">
        <v>94</v>
      </c>
      <c r="G103" s="8" t="n">
        <v>0.244</v>
      </c>
      <c r="H103" s="4" t="s">
        <v>94</v>
      </c>
      <c r="I103" s="8" t="n">
        <v>0.3285</v>
      </c>
      <c r="J103" s="4" t="s">
        <v>100</v>
      </c>
      <c r="K103" s="8" t="n">
        <v>0.0882</v>
      </c>
      <c r="L103" s="8" t="n">
        <v>0.0898</v>
      </c>
      <c r="M103" s="4" t="n">
        <f aca="false">IF(F103=J103,1,0)</f>
        <v>0</v>
      </c>
      <c r="N103" s="4" t="n">
        <f aca="false">IF(H103=J103,1,0)</f>
        <v>0</v>
      </c>
      <c r="O103" s="7" t="n">
        <f aca="false">-LN(K103)</f>
        <v>2.42814831596939</v>
      </c>
      <c r="P103" s="7" t="n">
        <f aca="false">-LN(L103)</f>
        <v>2.41017030367398</v>
      </c>
      <c r="Q103" s="7" t="n">
        <f aca="false">LN(E103)</f>
        <v>3.04452243772342</v>
      </c>
      <c r="R103" s="4" t="n">
        <v>2</v>
      </c>
      <c r="S103" s="4" t="n">
        <v>2</v>
      </c>
    </row>
    <row r="104" customFormat="false" ht="15" hidden="false" customHeight="false" outlineLevel="0" collapsed="false">
      <c r="A104" s="4" t="n">
        <v>2021</v>
      </c>
      <c r="B104" s="4" t="n">
        <v>3</v>
      </c>
      <c r="C104" s="4" t="s">
        <v>129</v>
      </c>
      <c r="D104" s="4" t="s">
        <v>93</v>
      </c>
      <c r="E104" s="4" t="n">
        <v>21</v>
      </c>
      <c r="F104" s="4" t="s">
        <v>94</v>
      </c>
      <c r="G104" s="8" t="n">
        <v>0.2419</v>
      </c>
      <c r="H104" s="4" t="s">
        <v>94</v>
      </c>
      <c r="I104" s="8" t="n">
        <v>0.319</v>
      </c>
      <c r="J104" s="4" t="s">
        <v>94</v>
      </c>
      <c r="K104" s="8" t="n">
        <v>0.2419</v>
      </c>
      <c r="L104" s="8" t="n">
        <v>0.319</v>
      </c>
      <c r="M104" s="4" t="n">
        <f aca="false">IF(F104=J104,1,0)</f>
        <v>1</v>
      </c>
      <c r="N104" s="4" t="n">
        <f aca="false">IF(H104=J104,1,0)</f>
        <v>1</v>
      </c>
      <c r="O104" s="7" t="n">
        <f aca="false">-LN(K104)</f>
        <v>1.41923086136616</v>
      </c>
      <c r="P104" s="7" t="n">
        <f aca="false">-LN(L104)</f>
        <v>1.14256417619729</v>
      </c>
      <c r="Q104" s="7" t="n">
        <f aca="false">LN(E104)</f>
        <v>3.04452243772342</v>
      </c>
      <c r="R104" s="4" t="n">
        <v>3</v>
      </c>
      <c r="S104" s="4" t="n">
        <v>3</v>
      </c>
    </row>
    <row r="105" customFormat="false" ht="15" hidden="false" customHeight="false" outlineLevel="0" collapsed="false">
      <c r="A105" s="4" t="n">
        <v>2021</v>
      </c>
      <c r="B105" s="4" t="n">
        <v>4</v>
      </c>
      <c r="C105" s="4" t="s">
        <v>99</v>
      </c>
      <c r="D105" s="4" t="s">
        <v>93</v>
      </c>
      <c r="E105" s="4" t="n">
        <v>21</v>
      </c>
      <c r="F105" s="4" t="s">
        <v>94</v>
      </c>
      <c r="G105" s="8" t="n">
        <v>0.2608</v>
      </c>
      <c r="H105" s="4" t="s">
        <v>94</v>
      </c>
      <c r="I105" s="8" t="n">
        <v>0.3489</v>
      </c>
      <c r="J105" s="4" t="s">
        <v>94</v>
      </c>
      <c r="K105" s="8" t="n">
        <v>0.2608</v>
      </c>
      <c r="L105" s="8" t="n">
        <v>0.3489</v>
      </c>
      <c r="M105" s="4" t="n">
        <f aca="false">IF(F105=J105,1,0)</f>
        <v>1</v>
      </c>
      <c r="N105" s="4" t="n">
        <f aca="false">IF(H105=J105,1,0)</f>
        <v>1</v>
      </c>
      <c r="O105" s="7" t="n">
        <f aca="false">-LN(K105)</f>
        <v>1.34400144892964</v>
      </c>
      <c r="P105" s="7" t="n">
        <f aca="false">-LN(L105)</f>
        <v>1.05296993078941</v>
      </c>
      <c r="Q105" s="7" t="n">
        <f aca="false">LN(E105)</f>
        <v>3.04452243772342</v>
      </c>
      <c r="R105" s="4" t="n">
        <v>3</v>
      </c>
      <c r="S105" s="4" t="n">
        <v>3</v>
      </c>
    </row>
    <row r="106" customFormat="false" ht="15" hidden="false" customHeight="false" outlineLevel="0" collapsed="false">
      <c r="A106" s="4" t="n">
        <v>2021</v>
      </c>
      <c r="B106" s="4" t="n">
        <v>5</v>
      </c>
      <c r="C106" s="4" t="s">
        <v>101</v>
      </c>
      <c r="D106" s="4" t="s">
        <v>93</v>
      </c>
      <c r="E106" s="4" t="n">
        <v>21</v>
      </c>
      <c r="F106" s="4" t="s">
        <v>94</v>
      </c>
      <c r="G106" s="8" t="n">
        <v>0.2826</v>
      </c>
      <c r="H106" s="4" t="s">
        <v>94</v>
      </c>
      <c r="I106" s="8" t="n">
        <v>0.3796</v>
      </c>
      <c r="J106" s="4" t="s">
        <v>100</v>
      </c>
      <c r="K106" s="8" t="n">
        <v>0.13</v>
      </c>
      <c r="L106" s="8" t="n">
        <v>0.1395</v>
      </c>
      <c r="M106" s="4" t="n">
        <f aca="false">IF(F106=J106,1,0)</f>
        <v>0</v>
      </c>
      <c r="N106" s="4" t="n">
        <f aca="false">IF(H106=J106,1,0)</f>
        <v>0</v>
      </c>
      <c r="O106" s="7" t="n">
        <f aca="false">-LN(K106)</f>
        <v>2.04022082852655</v>
      </c>
      <c r="P106" s="7" t="n">
        <f aca="false">-LN(L106)</f>
        <v>1.96969067772072</v>
      </c>
      <c r="Q106" s="7" t="n">
        <f aca="false">LN(E106)</f>
        <v>3.04452243772342</v>
      </c>
      <c r="R106" s="4" t="n">
        <v>1</v>
      </c>
      <c r="S106" s="4" t="n">
        <v>1</v>
      </c>
    </row>
    <row r="107" customFormat="false" ht="15" hidden="false" customHeight="false" outlineLevel="0" collapsed="false">
      <c r="A107" s="4" t="n">
        <v>2021</v>
      </c>
      <c r="B107" s="4" t="n">
        <v>6</v>
      </c>
      <c r="C107" s="4" t="s">
        <v>120</v>
      </c>
      <c r="D107" s="4" t="s">
        <v>93</v>
      </c>
      <c r="E107" s="4" t="n">
        <v>21</v>
      </c>
      <c r="F107" s="4" t="s">
        <v>94</v>
      </c>
      <c r="G107" s="8" t="n">
        <v>0.2555</v>
      </c>
      <c r="H107" s="4" t="s">
        <v>94</v>
      </c>
      <c r="I107" s="8" t="n">
        <v>0.3319</v>
      </c>
      <c r="J107" s="4" t="s">
        <v>133</v>
      </c>
      <c r="K107" s="8" t="n">
        <v>0.0845</v>
      </c>
      <c r="L107" s="8" t="n">
        <v>0.0782</v>
      </c>
      <c r="M107" s="4" t="n">
        <f aca="false">IF(F107=J107,1,0)</f>
        <v>0</v>
      </c>
      <c r="N107" s="4" t="n">
        <f aca="false">IF(H107=J107,1,0)</f>
        <v>0</v>
      </c>
      <c r="O107" s="7" t="n">
        <f aca="false">-LN(K107)</f>
        <v>2.47100374461901</v>
      </c>
      <c r="P107" s="7" t="n">
        <f aca="false">-LN(L107)</f>
        <v>2.54848563143087</v>
      </c>
      <c r="Q107" s="7" t="n">
        <f aca="false">LN(E107)</f>
        <v>3.04452243772342</v>
      </c>
      <c r="R107" s="4" t="n">
        <v>0</v>
      </c>
      <c r="S107" s="4" t="n">
        <v>0</v>
      </c>
    </row>
    <row r="108" customFormat="false" ht="15" hidden="false" customHeight="false" outlineLevel="0" collapsed="false">
      <c r="A108" s="4" t="n">
        <v>2021</v>
      </c>
      <c r="B108" s="4" t="n">
        <v>7</v>
      </c>
      <c r="C108" s="4" t="s">
        <v>121</v>
      </c>
      <c r="D108" s="4" t="s">
        <v>93</v>
      </c>
      <c r="E108" s="4" t="n">
        <v>21</v>
      </c>
      <c r="F108" s="4" t="s">
        <v>94</v>
      </c>
      <c r="G108" s="8" t="n">
        <v>0.215</v>
      </c>
      <c r="H108" s="4" t="s">
        <v>94</v>
      </c>
      <c r="I108" s="8" t="n">
        <v>0.2732</v>
      </c>
      <c r="J108" s="4" t="s">
        <v>100</v>
      </c>
      <c r="K108" s="8" t="n">
        <v>0.1531</v>
      </c>
      <c r="L108" s="8" t="n">
        <v>0.1813</v>
      </c>
      <c r="M108" s="4" t="n">
        <f aca="false">IF(F108=J108,1,0)</f>
        <v>0</v>
      </c>
      <c r="N108" s="4" t="n">
        <f aca="false">IF(H108=J108,1,0)</f>
        <v>0</v>
      </c>
      <c r="O108" s="7" t="n">
        <f aca="false">-LN(K108)</f>
        <v>1.8766639763185</v>
      </c>
      <c r="P108" s="7" t="n">
        <f aca="false">-LN(L108)</f>
        <v>1.70760216122133</v>
      </c>
      <c r="Q108" s="7" t="n">
        <f aca="false">LN(E108)</f>
        <v>3.04452243772342</v>
      </c>
      <c r="R108" s="4" t="n">
        <v>2</v>
      </c>
      <c r="S108" s="4" t="n">
        <v>2</v>
      </c>
    </row>
    <row r="109" customFormat="false" ht="15" hidden="false" customHeight="false" outlineLevel="0" collapsed="false">
      <c r="A109" s="4" t="n">
        <v>2021</v>
      </c>
      <c r="B109" s="4" t="n">
        <v>8</v>
      </c>
      <c r="C109" s="4" t="s">
        <v>124</v>
      </c>
      <c r="D109" s="4" t="s">
        <v>93</v>
      </c>
      <c r="E109" s="4" t="n">
        <v>21</v>
      </c>
      <c r="F109" s="4" t="s">
        <v>94</v>
      </c>
      <c r="G109" s="8" t="n">
        <v>0.2064</v>
      </c>
      <c r="H109" s="4" t="s">
        <v>94</v>
      </c>
      <c r="I109" s="8" t="n">
        <v>0.2646</v>
      </c>
      <c r="J109" s="4" t="s">
        <v>100</v>
      </c>
      <c r="K109" s="8" t="n">
        <v>0.1735</v>
      </c>
      <c r="L109" s="8" t="n">
        <v>0.2114</v>
      </c>
      <c r="M109" s="4" t="n">
        <f aca="false">IF(F109=J109,1,0)</f>
        <v>0</v>
      </c>
      <c r="N109" s="4" t="n">
        <f aca="false">IF(H109=J109,1,0)</f>
        <v>0</v>
      </c>
      <c r="O109" s="7" t="n">
        <f aca="false">-LN(K109)</f>
        <v>1.75157767959522</v>
      </c>
      <c r="P109" s="7" t="n">
        <f aca="false">-LN(L109)</f>
        <v>1.554003205546</v>
      </c>
      <c r="Q109" s="7" t="n">
        <f aca="false">LN(E109)</f>
        <v>3.04452243772342</v>
      </c>
      <c r="R109" s="4" t="n">
        <v>2</v>
      </c>
      <c r="S109" s="4" t="n">
        <v>2</v>
      </c>
    </row>
    <row r="110" customFormat="false" ht="15" hidden="false" customHeight="false" outlineLevel="0" collapsed="false">
      <c r="A110" s="4" t="n">
        <v>2021</v>
      </c>
      <c r="B110" s="4" t="n">
        <v>9</v>
      </c>
      <c r="C110" s="4" t="s">
        <v>104</v>
      </c>
      <c r="D110" s="4" t="s">
        <v>93</v>
      </c>
      <c r="E110" s="4" t="n">
        <v>21</v>
      </c>
      <c r="F110" s="4" t="s">
        <v>94</v>
      </c>
      <c r="G110" s="8" t="n">
        <v>0.2055</v>
      </c>
      <c r="H110" s="4" t="s">
        <v>94</v>
      </c>
      <c r="I110" s="8" t="n">
        <v>0.2655</v>
      </c>
      <c r="J110" s="4" t="s">
        <v>100</v>
      </c>
      <c r="K110" s="8" t="n">
        <v>0.1914</v>
      </c>
      <c r="L110" s="8" t="n">
        <v>0.2361</v>
      </c>
      <c r="M110" s="4" t="n">
        <f aca="false">IF(F110=J110,1,0)</f>
        <v>0</v>
      </c>
      <c r="N110" s="4" t="n">
        <f aca="false">IF(H110=J110,1,0)</f>
        <v>0</v>
      </c>
      <c r="O110" s="7" t="n">
        <f aca="false">-LN(K110)</f>
        <v>1.65338979996328</v>
      </c>
      <c r="P110" s="7" t="n">
        <f aca="false">-LN(L110)</f>
        <v>1.44349983489067</v>
      </c>
      <c r="Q110" s="7" t="n">
        <f aca="false">LN(E110)</f>
        <v>3.04452243772342</v>
      </c>
      <c r="R110" s="4" t="n">
        <v>1</v>
      </c>
      <c r="S110" s="4" t="n">
        <v>1</v>
      </c>
    </row>
    <row r="111" customFormat="false" ht="15" hidden="false" customHeight="false" outlineLevel="0" collapsed="false">
      <c r="A111" s="4" t="n">
        <v>2021</v>
      </c>
      <c r="B111" s="4" t="n">
        <v>10</v>
      </c>
      <c r="C111" s="4" t="s">
        <v>105</v>
      </c>
      <c r="D111" s="4" t="s">
        <v>93</v>
      </c>
      <c r="E111" s="4" t="n">
        <v>21</v>
      </c>
      <c r="F111" s="4" t="s">
        <v>100</v>
      </c>
      <c r="G111" s="8" t="n">
        <v>0.2095</v>
      </c>
      <c r="H111" s="4" t="s">
        <v>100</v>
      </c>
      <c r="I111" s="8" t="n">
        <v>0.2625</v>
      </c>
      <c r="J111" s="4" t="s">
        <v>94</v>
      </c>
      <c r="K111" s="8" t="n">
        <v>0.1987</v>
      </c>
      <c r="L111" s="8" t="n">
        <v>0.2529</v>
      </c>
      <c r="M111" s="4" t="n">
        <f aca="false">IF(F111=J111,1,0)</f>
        <v>0</v>
      </c>
      <c r="N111" s="4" t="n">
        <f aca="false">IF(H111=J111,1,0)</f>
        <v>0</v>
      </c>
      <c r="O111" s="7" t="n">
        <f aca="false">-LN(K111)</f>
        <v>1.61595912942437</v>
      </c>
      <c r="P111" s="7" t="n">
        <f aca="false">-LN(L111)</f>
        <v>1.37476112530622</v>
      </c>
      <c r="Q111" s="7" t="n">
        <f aca="false">LN(E111)</f>
        <v>3.04452243772342</v>
      </c>
      <c r="R111" s="4" t="n">
        <v>1</v>
      </c>
      <c r="S111" s="4" t="n">
        <v>1</v>
      </c>
    </row>
    <row r="112" customFormat="false" ht="15" hidden="false" customHeight="false" outlineLevel="0" collapsed="false">
      <c r="A112" s="4" t="n">
        <v>2021</v>
      </c>
      <c r="B112" s="4" t="n">
        <v>11</v>
      </c>
      <c r="C112" s="4" t="s">
        <v>106</v>
      </c>
      <c r="D112" s="4" t="s">
        <v>93</v>
      </c>
      <c r="E112" s="4" t="n">
        <v>21</v>
      </c>
      <c r="F112" s="4" t="s">
        <v>94</v>
      </c>
      <c r="G112" s="8" t="n">
        <v>0.2221</v>
      </c>
      <c r="H112" s="4" t="s">
        <v>94</v>
      </c>
      <c r="I112" s="8" t="n">
        <v>0.3</v>
      </c>
      <c r="J112" s="4" t="s">
        <v>134</v>
      </c>
      <c r="K112" s="8" t="n">
        <v>0.0182</v>
      </c>
      <c r="L112" s="8" t="n">
        <v>0.0123</v>
      </c>
      <c r="M112" s="4" t="n">
        <f aca="false">IF(F112=J112,1,0)</f>
        <v>0</v>
      </c>
      <c r="N112" s="4" t="n">
        <f aca="false">IF(H112=J112,1,0)</f>
        <v>0</v>
      </c>
      <c r="O112" s="7" t="n">
        <f aca="false">-LN(K112)</f>
        <v>4.00633368489939</v>
      </c>
      <c r="P112" s="7" t="n">
        <f aca="false">-LN(L112)</f>
        <v>4.39815601660377</v>
      </c>
      <c r="Q112" s="7" t="n">
        <f aca="false">LN(E112)</f>
        <v>3.04452243772342</v>
      </c>
      <c r="R112" s="4" t="n">
        <v>1</v>
      </c>
      <c r="S112" s="4" t="n">
        <v>1</v>
      </c>
    </row>
    <row r="113" customFormat="false" ht="15" hidden="false" customHeight="false" outlineLevel="0" collapsed="false">
      <c r="A113" s="4" t="n">
        <v>2021</v>
      </c>
      <c r="B113" s="4" t="n">
        <v>12</v>
      </c>
      <c r="C113" s="4" t="s">
        <v>108</v>
      </c>
      <c r="D113" s="4" t="s">
        <v>93</v>
      </c>
      <c r="E113" s="4" t="n">
        <v>21</v>
      </c>
      <c r="F113" s="4" t="s">
        <v>94</v>
      </c>
      <c r="G113" s="8" t="n">
        <v>0.238</v>
      </c>
      <c r="H113" s="4" t="s">
        <v>94</v>
      </c>
      <c r="I113" s="8" t="n">
        <v>0.3279</v>
      </c>
      <c r="J113" s="4" t="s">
        <v>100</v>
      </c>
      <c r="K113" s="8" t="n">
        <v>0.1656</v>
      </c>
      <c r="L113" s="8" t="n">
        <v>0.1859</v>
      </c>
      <c r="M113" s="4" t="n">
        <f aca="false">IF(F113=J113,1,0)</f>
        <v>0</v>
      </c>
      <c r="N113" s="4" t="n">
        <f aca="false">IF(H113=J113,1,0)</f>
        <v>0</v>
      </c>
      <c r="O113" s="7" t="n">
        <f aca="false">-LN(K113)</f>
        <v>1.79818003703098</v>
      </c>
      <c r="P113" s="7" t="n">
        <f aca="false">-LN(L113)</f>
        <v>1.68254638425474</v>
      </c>
      <c r="Q113" s="7" t="n">
        <f aca="false">LN(E113)</f>
        <v>3.04452243772342</v>
      </c>
      <c r="R113" s="4" t="n">
        <v>2</v>
      </c>
      <c r="S113" s="4" t="n">
        <v>2</v>
      </c>
    </row>
    <row r="114" customFormat="false" ht="15" hidden="false" customHeight="false" outlineLevel="0" collapsed="false">
      <c r="A114" s="4" t="n">
        <v>2021</v>
      </c>
      <c r="B114" s="4" t="n">
        <v>13</v>
      </c>
      <c r="C114" s="4" t="s">
        <v>135</v>
      </c>
      <c r="D114" s="4" t="s">
        <v>93</v>
      </c>
      <c r="E114" s="4" t="n">
        <v>21</v>
      </c>
      <c r="F114" s="4" t="s">
        <v>94</v>
      </c>
      <c r="G114" s="8" t="n">
        <v>0.2387</v>
      </c>
      <c r="H114" s="4" t="s">
        <v>94</v>
      </c>
      <c r="I114" s="8" t="n">
        <v>0.3255</v>
      </c>
      <c r="J114" s="4" t="s">
        <v>100</v>
      </c>
      <c r="K114" s="8" t="n">
        <v>0.1672</v>
      </c>
      <c r="L114" s="8" t="n">
        <v>0.1959</v>
      </c>
      <c r="M114" s="4" t="n">
        <f aca="false">IF(F114=J114,1,0)</f>
        <v>0</v>
      </c>
      <c r="N114" s="4" t="n">
        <f aca="false">IF(H114=J114,1,0)</f>
        <v>0</v>
      </c>
      <c r="O114" s="7" t="n">
        <f aca="false">-LN(K114)</f>
        <v>1.78856457833154</v>
      </c>
      <c r="P114" s="7" t="n">
        <f aca="false">-LN(L114)</f>
        <v>1.63015095403164</v>
      </c>
      <c r="Q114" s="7" t="n">
        <f aca="false">LN(E114)</f>
        <v>3.04452243772342</v>
      </c>
      <c r="R114" s="4" t="n">
        <v>3</v>
      </c>
      <c r="S114" s="4" t="n">
        <v>3</v>
      </c>
    </row>
    <row r="115" customFormat="false" ht="15" hidden="false" customHeight="false" outlineLevel="0" collapsed="false">
      <c r="A115" s="4" t="n">
        <v>2021</v>
      </c>
      <c r="B115" s="4" t="n">
        <v>14</v>
      </c>
      <c r="C115" s="4" t="s">
        <v>109</v>
      </c>
      <c r="D115" s="4" t="s">
        <v>93</v>
      </c>
      <c r="E115" s="4" t="n">
        <v>21</v>
      </c>
      <c r="F115" s="4" t="s">
        <v>94</v>
      </c>
      <c r="G115" s="8" t="n">
        <v>0.2445</v>
      </c>
      <c r="H115" s="4" t="s">
        <v>94</v>
      </c>
      <c r="I115" s="8" t="n">
        <v>0.3359</v>
      </c>
      <c r="J115" s="4" t="s">
        <v>112</v>
      </c>
      <c r="K115" s="8" t="n">
        <v>0.0377</v>
      </c>
      <c r="L115" s="8" t="n">
        <v>0.0284</v>
      </c>
      <c r="M115" s="4" t="n">
        <f aca="false">IF(F115=J115,1,0)</f>
        <v>0</v>
      </c>
      <c r="N115" s="4" t="n">
        <f aca="false">IF(H115=J115,1,0)</f>
        <v>0</v>
      </c>
      <c r="O115" s="7" t="n">
        <f aca="false">-LN(K115)</f>
        <v>3.27809518452817</v>
      </c>
      <c r="P115" s="7" t="n">
        <f aca="false">-LN(L115)</f>
        <v>3.56136613381498</v>
      </c>
      <c r="Q115" s="7" t="n">
        <f aca="false">LN(E115)</f>
        <v>3.04452243772342</v>
      </c>
      <c r="R115" s="4" t="n">
        <v>1</v>
      </c>
      <c r="S115" s="4" t="n">
        <v>1</v>
      </c>
    </row>
    <row r="116" customFormat="false" ht="15" hidden="false" customHeight="false" outlineLevel="0" collapsed="false">
      <c r="A116" s="4" t="n">
        <v>2021</v>
      </c>
      <c r="B116" s="4" t="n">
        <v>15</v>
      </c>
      <c r="C116" s="4" t="s">
        <v>98</v>
      </c>
      <c r="D116" s="4" t="s">
        <v>93</v>
      </c>
      <c r="E116" s="4" t="n">
        <v>21</v>
      </c>
      <c r="F116" s="4" t="s">
        <v>94</v>
      </c>
      <c r="G116" s="8" t="n">
        <v>0.2186</v>
      </c>
      <c r="H116" s="4" t="s">
        <v>94</v>
      </c>
      <c r="I116" s="8" t="n">
        <v>0.2925</v>
      </c>
      <c r="J116" s="4" t="s">
        <v>94</v>
      </c>
      <c r="K116" s="8" t="n">
        <v>0.2186</v>
      </c>
      <c r="L116" s="8" t="n">
        <v>0.2925</v>
      </c>
      <c r="M116" s="4" t="n">
        <f aca="false">IF(F116=J116,1,0)</f>
        <v>1</v>
      </c>
      <c r="N116" s="4" t="n">
        <f aca="false">IF(H116=J116,1,0)</f>
        <v>1</v>
      </c>
      <c r="O116" s="7" t="n">
        <f aca="false">-LN(K116)</f>
        <v>1.5205117032397</v>
      </c>
      <c r="P116" s="7" t="n">
        <f aca="false">-LN(L116)</f>
        <v>1.22929061231023</v>
      </c>
      <c r="Q116" s="7" t="n">
        <f aca="false">LN(E116)</f>
        <v>3.04452243772342</v>
      </c>
      <c r="R116" s="4" t="n">
        <v>2</v>
      </c>
      <c r="S116" s="4" t="n">
        <v>2</v>
      </c>
    </row>
    <row r="117" customFormat="false" ht="15" hidden="false" customHeight="false" outlineLevel="0" collapsed="false">
      <c r="A117" s="4" t="n">
        <v>2021</v>
      </c>
      <c r="B117" s="4" t="n">
        <v>16</v>
      </c>
      <c r="C117" s="4" t="s">
        <v>131</v>
      </c>
      <c r="D117" s="4" t="s">
        <v>93</v>
      </c>
      <c r="E117" s="4" t="n">
        <v>21</v>
      </c>
      <c r="F117" s="4" t="s">
        <v>94</v>
      </c>
      <c r="G117" s="8" t="n">
        <v>0.2341</v>
      </c>
      <c r="H117" s="4" t="s">
        <v>94</v>
      </c>
      <c r="I117" s="8" t="n">
        <v>0.3218</v>
      </c>
      <c r="J117" s="4" t="s">
        <v>119</v>
      </c>
      <c r="K117" s="8" t="n">
        <v>0.0914</v>
      </c>
      <c r="L117" s="8" t="n">
        <v>0.0873</v>
      </c>
      <c r="M117" s="4" t="n">
        <f aca="false">IF(F117=J117,1,0)</f>
        <v>0</v>
      </c>
      <c r="N117" s="4" t="n">
        <f aca="false">IF(H117=J117,1,0)</f>
        <v>0</v>
      </c>
      <c r="O117" s="7" t="n">
        <f aca="false">-LN(K117)</f>
        <v>2.39250980052203</v>
      </c>
      <c r="P117" s="7" t="n">
        <f aca="false">-LN(L117)</f>
        <v>2.43840481613658</v>
      </c>
      <c r="Q117" s="7" t="n">
        <f aca="false">LN(E117)</f>
        <v>3.04452243772342</v>
      </c>
      <c r="R117" s="4" t="n">
        <v>2</v>
      </c>
      <c r="S117" s="4" t="n">
        <v>2</v>
      </c>
    </row>
    <row r="118" customFormat="false" ht="15" hidden="false" customHeight="false" outlineLevel="0" collapsed="false">
      <c r="A118" s="4" t="n">
        <v>2021</v>
      </c>
      <c r="B118" s="4" t="n">
        <v>17</v>
      </c>
      <c r="C118" s="4" t="s">
        <v>114</v>
      </c>
      <c r="D118" s="4" t="s">
        <v>93</v>
      </c>
      <c r="E118" s="4" t="n">
        <v>21</v>
      </c>
      <c r="F118" s="4" t="s">
        <v>94</v>
      </c>
      <c r="G118" s="8" t="n">
        <v>0.2258</v>
      </c>
      <c r="H118" s="4" t="s">
        <v>94</v>
      </c>
      <c r="I118" s="8" t="n">
        <v>0.3063</v>
      </c>
      <c r="J118" s="4" t="s">
        <v>100</v>
      </c>
      <c r="K118" s="8" t="n">
        <v>0.1613</v>
      </c>
      <c r="L118" s="8" t="n">
        <v>0.1933</v>
      </c>
      <c r="M118" s="4" t="n">
        <f aca="false">IF(F118=J118,1,0)</f>
        <v>0</v>
      </c>
      <c r="N118" s="4" t="n">
        <f aca="false">IF(H118=J118,1,0)</f>
        <v>0</v>
      </c>
      <c r="O118" s="7" t="n">
        <f aca="false">-LN(K118)</f>
        <v>1.82448929385097</v>
      </c>
      <c r="P118" s="7" t="n">
        <f aca="false">-LN(L118)</f>
        <v>1.64351189276785</v>
      </c>
      <c r="Q118" s="7" t="n">
        <f aca="false">LN(E118)</f>
        <v>3.04452243772342</v>
      </c>
      <c r="R118" s="4" t="n">
        <v>2</v>
      </c>
      <c r="S118" s="4" t="n">
        <v>2</v>
      </c>
    </row>
    <row r="119" customFormat="false" ht="15" hidden="false" customHeight="false" outlineLevel="0" collapsed="false">
      <c r="A119" s="4" t="n">
        <v>2021</v>
      </c>
      <c r="B119" s="4" t="n">
        <v>18</v>
      </c>
      <c r="C119" s="4" t="s">
        <v>136</v>
      </c>
      <c r="D119" s="4" t="s">
        <v>93</v>
      </c>
      <c r="E119" s="4" t="n">
        <v>21</v>
      </c>
      <c r="F119" s="4" t="s">
        <v>94</v>
      </c>
      <c r="G119" s="8" t="n">
        <v>0.2331</v>
      </c>
      <c r="H119" s="4" t="s">
        <v>94</v>
      </c>
      <c r="I119" s="8" t="n">
        <v>0.3138</v>
      </c>
      <c r="J119" s="4" t="s">
        <v>100</v>
      </c>
      <c r="K119" s="8" t="n">
        <v>0.1674</v>
      </c>
      <c r="L119" s="8" t="n">
        <v>0.2055</v>
      </c>
      <c r="M119" s="4" t="n">
        <f aca="false">IF(F119=J119,1,0)</f>
        <v>0</v>
      </c>
      <c r="N119" s="4" t="n">
        <f aca="false">IF(H119=J119,1,0)</f>
        <v>0</v>
      </c>
      <c r="O119" s="7" t="n">
        <f aca="false">-LN(K119)</f>
        <v>1.78736912092676</v>
      </c>
      <c r="P119" s="7" t="n">
        <f aca="false">-LN(L119)</f>
        <v>1.58230924504585</v>
      </c>
      <c r="Q119" s="7" t="n">
        <f aca="false">LN(E119)</f>
        <v>3.04452243772342</v>
      </c>
      <c r="R119" s="4" t="n">
        <v>2</v>
      </c>
      <c r="S119" s="4" t="n">
        <v>2</v>
      </c>
    </row>
    <row r="120" customFormat="false" ht="15" hidden="false" customHeight="false" outlineLevel="0" collapsed="false">
      <c r="A120" s="4" t="n">
        <v>2021</v>
      </c>
      <c r="B120" s="4" t="n">
        <v>19</v>
      </c>
      <c r="C120" s="4" t="s">
        <v>137</v>
      </c>
      <c r="D120" s="4" t="s">
        <v>93</v>
      </c>
      <c r="E120" s="4" t="n">
        <v>21</v>
      </c>
      <c r="F120" s="4" t="s">
        <v>94</v>
      </c>
      <c r="G120" s="8" t="n">
        <v>0.2317</v>
      </c>
      <c r="H120" s="4" t="s">
        <v>94</v>
      </c>
      <c r="I120" s="8" t="n">
        <v>0.3081</v>
      </c>
      <c r="J120" s="4" t="s">
        <v>94</v>
      </c>
      <c r="K120" s="8" t="n">
        <v>0.2317</v>
      </c>
      <c r="L120" s="8" t="n">
        <v>0.3081</v>
      </c>
      <c r="M120" s="4" t="n">
        <f aca="false">IF(F120=J120,1,0)</f>
        <v>1</v>
      </c>
      <c r="N120" s="4" t="n">
        <f aca="false">IF(H120=J120,1,0)</f>
        <v>1</v>
      </c>
      <c r="O120" s="7" t="n">
        <f aca="false">-LN(K120)</f>
        <v>1.46231184754381</v>
      </c>
      <c r="P120" s="7" t="n">
        <f aca="false">-LN(L120)</f>
        <v>1.17733087337952</v>
      </c>
      <c r="Q120" s="7" t="n">
        <f aca="false">LN(E120)</f>
        <v>3.04452243772342</v>
      </c>
      <c r="R120" s="4" t="n">
        <v>3</v>
      </c>
      <c r="S120" s="4" t="n">
        <v>3</v>
      </c>
    </row>
    <row r="121" customFormat="false" ht="15" hidden="false" customHeight="false" outlineLevel="0" collapsed="false">
      <c r="A121" s="4" t="n">
        <v>2021</v>
      </c>
      <c r="B121" s="4" t="n">
        <v>20</v>
      </c>
      <c r="C121" s="4" t="s">
        <v>138</v>
      </c>
      <c r="D121" s="4" t="s">
        <v>93</v>
      </c>
      <c r="E121" s="4" t="n">
        <v>21</v>
      </c>
      <c r="F121" s="4" t="s">
        <v>94</v>
      </c>
      <c r="G121" s="8" t="n">
        <v>0.2389</v>
      </c>
      <c r="H121" s="4" t="s">
        <v>94</v>
      </c>
      <c r="I121" s="8" t="n">
        <v>0.3235</v>
      </c>
      <c r="J121" s="4" t="s">
        <v>94</v>
      </c>
      <c r="K121" s="8" t="n">
        <v>0.2389</v>
      </c>
      <c r="L121" s="8" t="n">
        <v>0.3235</v>
      </c>
      <c r="M121" s="4" t="n">
        <f aca="false">IF(F121=J121,1,0)</f>
        <v>1</v>
      </c>
      <c r="N121" s="4" t="n">
        <f aca="false">IF(H121=J121,1,0)</f>
        <v>1</v>
      </c>
      <c r="O121" s="7" t="n">
        <f aca="false">-LN(K121)</f>
        <v>1.43171022465037</v>
      </c>
      <c r="P121" s="7" t="n">
        <f aca="false">-LN(L121)</f>
        <v>1.12855616504118</v>
      </c>
      <c r="Q121" s="7" t="n">
        <f aca="false">LN(E121)</f>
        <v>3.04452243772342</v>
      </c>
      <c r="R121" s="4" t="n">
        <v>2</v>
      </c>
      <c r="S121" s="4" t="n">
        <v>2</v>
      </c>
    </row>
    <row r="122" customFormat="false" ht="15" hidden="false" customHeight="false" outlineLevel="0" collapsed="false">
      <c r="A122" s="4" t="n">
        <v>2021</v>
      </c>
      <c r="B122" s="4" t="n">
        <v>21</v>
      </c>
      <c r="C122" s="4" t="s">
        <v>139</v>
      </c>
      <c r="D122" s="4" t="s">
        <v>93</v>
      </c>
      <c r="E122" s="4" t="n">
        <v>21</v>
      </c>
      <c r="F122" s="4" t="s">
        <v>94</v>
      </c>
      <c r="G122" s="8" t="n">
        <v>0.2328</v>
      </c>
      <c r="H122" s="4" t="s">
        <v>94</v>
      </c>
      <c r="I122" s="8" t="n">
        <v>0.3138</v>
      </c>
      <c r="J122" s="4" t="s">
        <v>94</v>
      </c>
      <c r="K122" s="8" t="n">
        <v>0.2328</v>
      </c>
      <c r="L122" s="8" t="n">
        <v>0.3138</v>
      </c>
      <c r="M122" s="4" t="n">
        <f aca="false">IF(F122=J122,1,0)</f>
        <v>1</v>
      </c>
      <c r="N122" s="4" t="n">
        <f aca="false">IF(H122=J122,1,0)</f>
        <v>1</v>
      </c>
      <c r="O122" s="7" t="n">
        <f aca="false">-LN(K122)</f>
        <v>1.45757556312485</v>
      </c>
      <c r="P122" s="7" t="n">
        <f aca="false">-LN(L122)</f>
        <v>1.1589994386832</v>
      </c>
      <c r="Q122" s="7" t="n">
        <f aca="false">LN(E122)</f>
        <v>3.04452243772342</v>
      </c>
      <c r="R122" s="4" t="n">
        <v>3</v>
      </c>
      <c r="S122" s="4" t="n">
        <v>3</v>
      </c>
    </row>
    <row r="123" customFormat="false" ht="15" hidden="false" customHeight="false" outlineLevel="0" collapsed="false">
      <c r="A123" s="4" t="n">
        <v>2021</v>
      </c>
      <c r="B123" s="4" t="n">
        <v>22</v>
      </c>
      <c r="C123" s="4" t="s">
        <v>117</v>
      </c>
      <c r="D123" s="4" t="s">
        <v>93</v>
      </c>
      <c r="E123" s="4" t="n">
        <v>21</v>
      </c>
      <c r="F123" s="4" t="s">
        <v>94</v>
      </c>
      <c r="G123" s="8" t="n">
        <v>0.246</v>
      </c>
      <c r="H123" s="4" t="s">
        <v>94</v>
      </c>
      <c r="I123" s="8" t="n">
        <v>0.3393</v>
      </c>
      <c r="J123" s="4" t="s">
        <v>100</v>
      </c>
      <c r="K123" s="8" t="n">
        <v>0.1778</v>
      </c>
      <c r="L123" s="8" t="n">
        <v>0.2134</v>
      </c>
      <c r="M123" s="4" t="n">
        <f aca="false">IF(F123=J123,1,0)</f>
        <v>0</v>
      </c>
      <c r="N123" s="4" t="n">
        <f aca="false">IF(H123=J123,1,0)</f>
        <v>0</v>
      </c>
      <c r="O123" s="7" t="n">
        <f aca="false">-LN(K123)</f>
        <v>1.72709595590233</v>
      </c>
      <c r="P123" s="7" t="n">
        <f aca="false">-LN(L123)</f>
        <v>1.54458694011448</v>
      </c>
      <c r="Q123" s="7" t="n">
        <f aca="false">LN(E123)</f>
        <v>3.04452243772342</v>
      </c>
      <c r="R123" s="4" t="n">
        <v>2</v>
      </c>
      <c r="S123" s="4" t="n">
        <v>2</v>
      </c>
    </row>
    <row r="124" customFormat="false" ht="15" hidden="false" customHeight="false" outlineLevel="0" collapsed="false">
      <c r="A124" s="4" t="n">
        <v>2022</v>
      </c>
      <c r="B124" s="4" t="n">
        <v>1</v>
      </c>
      <c r="C124" s="4" t="s">
        <v>96</v>
      </c>
      <c r="D124" s="4" t="s">
        <v>93</v>
      </c>
      <c r="E124" s="4" t="n">
        <v>22</v>
      </c>
      <c r="F124" s="4" t="s">
        <v>94</v>
      </c>
      <c r="G124" s="8" t="n">
        <v>0.0954</v>
      </c>
      <c r="H124" s="4" t="s">
        <v>94</v>
      </c>
      <c r="I124" s="8" t="n">
        <v>0.1192</v>
      </c>
      <c r="J124" s="4" t="s">
        <v>123</v>
      </c>
      <c r="K124" s="8" t="n">
        <v>0.0524</v>
      </c>
      <c r="L124" s="8" t="n">
        <v>0.0536</v>
      </c>
      <c r="M124" s="4" t="n">
        <f aca="false">IF(F124=J124,1,0)</f>
        <v>0</v>
      </c>
      <c r="N124" s="4" t="n">
        <f aca="false">IF(H124=J124,1,0)</f>
        <v>0</v>
      </c>
      <c r="O124" s="7" t="n">
        <f aca="false">-LN(K124)</f>
        <v>2.94884868765514</v>
      </c>
      <c r="P124" s="7" t="n">
        <f aca="false">-LN(L124)</f>
        <v>2.92620621090538</v>
      </c>
      <c r="Q124" s="7" t="n">
        <f aca="false">LN(E124)</f>
        <v>3.09104245335832</v>
      </c>
      <c r="R124" s="4" t="n">
        <v>1</v>
      </c>
      <c r="S124" s="4" t="n">
        <v>1</v>
      </c>
    </row>
    <row r="125" customFormat="false" ht="15" hidden="false" customHeight="false" outlineLevel="0" collapsed="false">
      <c r="A125" s="4" t="n">
        <v>2022</v>
      </c>
      <c r="B125" s="4" t="n">
        <v>2</v>
      </c>
      <c r="C125" s="4" t="s">
        <v>139</v>
      </c>
      <c r="D125" s="4" t="s">
        <v>93</v>
      </c>
      <c r="E125" s="4" t="n">
        <v>22</v>
      </c>
      <c r="F125" s="4" t="s">
        <v>94</v>
      </c>
      <c r="G125" s="8" t="n">
        <v>0.1322</v>
      </c>
      <c r="H125" s="4" t="s">
        <v>94</v>
      </c>
      <c r="I125" s="8" t="n">
        <v>0.1712</v>
      </c>
      <c r="J125" s="4" t="s">
        <v>100</v>
      </c>
      <c r="K125" s="8" t="n">
        <v>0.0426</v>
      </c>
      <c r="L125" s="8" t="n">
        <v>0.0392</v>
      </c>
      <c r="M125" s="4" t="n">
        <f aca="false">IF(F125=J125,1,0)</f>
        <v>0</v>
      </c>
      <c r="N125" s="4" t="n">
        <f aca="false">IF(H125=J125,1,0)</f>
        <v>0</v>
      </c>
      <c r="O125" s="7" t="n">
        <f aca="false">-LN(K125)</f>
        <v>3.15590102570681</v>
      </c>
      <c r="P125" s="7" t="n">
        <f aca="false">-LN(L125)</f>
        <v>3.23907853218572</v>
      </c>
      <c r="Q125" s="7" t="n">
        <f aca="false">LN(E125)</f>
        <v>3.09104245335832</v>
      </c>
      <c r="R125" s="4" t="n">
        <v>2</v>
      </c>
      <c r="S125" s="4" t="n">
        <v>2</v>
      </c>
    </row>
    <row r="126" customFormat="false" ht="15" hidden="false" customHeight="false" outlineLevel="0" collapsed="false">
      <c r="A126" s="4" t="n">
        <v>2022</v>
      </c>
      <c r="B126" s="4" t="n">
        <v>3</v>
      </c>
      <c r="C126" s="4" t="s">
        <v>92</v>
      </c>
      <c r="D126" s="4" t="s">
        <v>93</v>
      </c>
      <c r="E126" s="4" t="n">
        <v>22</v>
      </c>
      <c r="F126" s="4" t="s">
        <v>123</v>
      </c>
      <c r="G126" s="8" t="n">
        <v>0.1783</v>
      </c>
      <c r="H126" s="4" t="s">
        <v>123</v>
      </c>
      <c r="I126" s="8" t="n">
        <v>0.2193</v>
      </c>
      <c r="J126" s="4" t="s">
        <v>123</v>
      </c>
      <c r="K126" s="8" t="n">
        <v>0.1783</v>
      </c>
      <c r="L126" s="8" t="n">
        <v>0.2193</v>
      </c>
      <c r="M126" s="4" t="n">
        <f aca="false">IF(F126=J126,1,0)</f>
        <v>1</v>
      </c>
      <c r="N126" s="4" t="n">
        <f aca="false">IF(H126=J126,1,0)</f>
        <v>1</v>
      </c>
      <c r="O126" s="7" t="n">
        <f aca="false">-LN(K126)</f>
        <v>1.72428775411304</v>
      </c>
      <c r="P126" s="7" t="n">
        <f aca="false">-LN(L126)</f>
        <v>1.51731462355829</v>
      </c>
      <c r="Q126" s="7" t="n">
        <f aca="false">LN(E126)</f>
        <v>3.09104245335832</v>
      </c>
      <c r="R126" s="4" t="n">
        <v>1</v>
      </c>
      <c r="S126" s="4" t="n">
        <v>1</v>
      </c>
    </row>
    <row r="127" customFormat="false" ht="15" hidden="false" customHeight="false" outlineLevel="0" collapsed="false">
      <c r="A127" s="4" t="n">
        <v>2022</v>
      </c>
      <c r="B127" s="4" t="n">
        <v>4</v>
      </c>
      <c r="C127" s="4" t="s">
        <v>130</v>
      </c>
      <c r="D127" s="4" t="s">
        <v>93</v>
      </c>
      <c r="E127" s="4" t="n">
        <v>22</v>
      </c>
      <c r="F127" s="4" t="s">
        <v>123</v>
      </c>
      <c r="G127" s="8" t="n">
        <v>0.2014</v>
      </c>
      <c r="H127" s="4" t="s">
        <v>123</v>
      </c>
      <c r="I127" s="8" t="n">
        <v>0.2508</v>
      </c>
      <c r="J127" s="4" t="s">
        <v>100</v>
      </c>
      <c r="K127" s="8" t="n">
        <v>0.0623</v>
      </c>
      <c r="L127" s="8" t="n">
        <v>0.0636</v>
      </c>
      <c r="M127" s="4" t="n">
        <f aca="false">IF(F127=J127,1,0)</f>
        <v>0</v>
      </c>
      <c r="N127" s="4" t="n">
        <f aca="false">IF(H127=J127,1,0)</f>
        <v>0</v>
      </c>
      <c r="O127" s="7" t="n">
        <f aca="false">-LN(K127)</f>
        <v>2.77579385318873</v>
      </c>
      <c r="P127" s="7" t="n">
        <f aca="false">-LN(L127)</f>
        <v>2.75514180863606</v>
      </c>
      <c r="Q127" s="7" t="n">
        <f aca="false">LN(E127)</f>
        <v>3.09104245335832</v>
      </c>
      <c r="R127" s="4" t="n">
        <v>0</v>
      </c>
      <c r="S127" s="4" t="n">
        <v>0</v>
      </c>
    </row>
    <row r="128" customFormat="false" ht="15" hidden="false" customHeight="false" outlineLevel="0" collapsed="false">
      <c r="A128" s="4" t="n">
        <v>2022</v>
      </c>
      <c r="B128" s="4" t="n">
        <v>5</v>
      </c>
      <c r="C128" s="4" t="s">
        <v>140</v>
      </c>
      <c r="D128" s="4" t="s">
        <v>93</v>
      </c>
      <c r="E128" s="4" t="n">
        <v>22</v>
      </c>
      <c r="F128" s="4" t="s">
        <v>123</v>
      </c>
      <c r="G128" s="8" t="n">
        <v>0.1802</v>
      </c>
      <c r="H128" s="4" t="s">
        <v>123</v>
      </c>
      <c r="I128" s="8" t="n">
        <v>0.2178</v>
      </c>
      <c r="J128" s="4" t="s">
        <v>100</v>
      </c>
      <c r="K128" s="8" t="n">
        <v>0.0915</v>
      </c>
      <c r="L128" s="8" t="n">
        <v>0.1064</v>
      </c>
      <c r="M128" s="4" t="n">
        <f aca="false">IF(F128=J128,1,0)</f>
        <v>0</v>
      </c>
      <c r="N128" s="4" t="n">
        <f aca="false">IF(H128=J128,1,0)</f>
        <v>0</v>
      </c>
      <c r="O128" s="7" t="n">
        <f aca="false">-LN(K128)</f>
        <v>2.39141630670066</v>
      </c>
      <c r="P128" s="7" t="n">
        <f aca="false">-LN(L128)</f>
        <v>2.24054970207459</v>
      </c>
      <c r="Q128" s="7" t="n">
        <f aca="false">LN(E128)</f>
        <v>3.09104245335832</v>
      </c>
      <c r="R128" s="4" t="n">
        <v>2</v>
      </c>
      <c r="S128" s="4" t="n">
        <v>2</v>
      </c>
    </row>
    <row r="129" customFormat="false" ht="15" hidden="false" customHeight="false" outlineLevel="0" collapsed="false">
      <c r="A129" s="4" t="n">
        <v>2022</v>
      </c>
      <c r="B129" s="4" t="n">
        <v>6</v>
      </c>
      <c r="C129" s="4" t="s">
        <v>99</v>
      </c>
      <c r="D129" s="4" t="s">
        <v>93</v>
      </c>
      <c r="E129" s="4" t="n">
        <v>22</v>
      </c>
      <c r="F129" s="4" t="s">
        <v>123</v>
      </c>
      <c r="G129" s="8" t="n">
        <v>0.1744</v>
      </c>
      <c r="H129" s="4" t="s">
        <v>123</v>
      </c>
      <c r="I129" s="8" t="n">
        <v>0.2122</v>
      </c>
      <c r="J129" s="4" t="s">
        <v>100</v>
      </c>
      <c r="K129" s="8" t="n">
        <v>0.1195</v>
      </c>
      <c r="L129" s="8" t="n">
        <v>0.1446</v>
      </c>
      <c r="M129" s="4" t="n">
        <f aca="false">IF(F129=J129,1,0)</f>
        <v>0</v>
      </c>
      <c r="N129" s="4" t="n">
        <f aca="false">IF(H129=J129,1,0)</f>
        <v>0</v>
      </c>
      <c r="O129" s="7" t="n">
        <f aca="false">-LN(K129)</f>
        <v>2.12443890761057</v>
      </c>
      <c r="P129" s="7" t="n">
        <f aca="false">-LN(L129)</f>
        <v>1.93378396925747</v>
      </c>
      <c r="Q129" s="7" t="n">
        <f aca="false">LN(E129)</f>
        <v>3.09104245335832</v>
      </c>
      <c r="R129" s="4" t="n">
        <v>1</v>
      </c>
      <c r="S129" s="4" t="n">
        <v>1</v>
      </c>
    </row>
    <row r="130" customFormat="false" ht="15" hidden="false" customHeight="false" outlineLevel="0" collapsed="false">
      <c r="A130" s="4" t="n">
        <v>2022</v>
      </c>
      <c r="B130" s="4" t="n">
        <v>7</v>
      </c>
      <c r="C130" s="4" t="s">
        <v>101</v>
      </c>
      <c r="D130" s="4" t="s">
        <v>93</v>
      </c>
      <c r="E130" s="4" t="n">
        <v>22</v>
      </c>
      <c r="F130" s="4" t="s">
        <v>100</v>
      </c>
      <c r="G130" s="8" t="n">
        <v>0.1509</v>
      </c>
      <c r="H130" s="4" t="s">
        <v>100</v>
      </c>
      <c r="I130" s="8" t="n">
        <v>0.1922</v>
      </c>
      <c r="J130" s="4" t="s">
        <v>133</v>
      </c>
      <c r="K130" s="8" t="n">
        <v>0.1066</v>
      </c>
      <c r="L130" s="8" t="n">
        <v>0.1187</v>
      </c>
      <c r="M130" s="4" t="n">
        <f aca="false">IF(F130=J130,1,0)</f>
        <v>0</v>
      </c>
      <c r="N130" s="4" t="n">
        <f aca="false">IF(H130=J130,1,0)</f>
        <v>0</v>
      </c>
      <c r="O130" s="7" t="n">
        <f aca="false">-LN(K130)</f>
        <v>2.23867176725039</v>
      </c>
      <c r="P130" s="7" t="n">
        <f aca="false">-LN(L130)</f>
        <v>2.13115597736651</v>
      </c>
      <c r="Q130" s="7" t="n">
        <f aca="false">LN(E130)</f>
        <v>3.09104245335832</v>
      </c>
      <c r="R130" s="4" t="n">
        <v>2</v>
      </c>
      <c r="S130" s="4" t="n">
        <v>2</v>
      </c>
    </row>
    <row r="131" customFormat="false" ht="15" hidden="false" customHeight="false" outlineLevel="0" collapsed="false">
      <c r="A131" s="4" t="n">
        <v>2022</v>
      </c>
      <c r="B131" s="4" t="n">
        <v>8</v>
      </c>
      <c r="C131" s="4" t="s">
        <v>120</v>
      </c>
      <c r="D131" s="4" t="s">
        <v>93</v>
      </c>
      <c r="E131" s="4" t="n">
        <v>22</v>
      </c>
      <c r="F131" s="4" t="s">
        <v>100</v>
      </c>
      <c r="G131" s="8" t="n">
        <v>0.1654</v>
      </c>
      <c r="H131" s="4" t="s">
        <v>100</v>
      </c>
      <c r="I131" s="8" t="n">
        <v>0.2101</v>
      </c>
      <c r="J131" s="4" t="s">
        <v>100</v>
      </c>
      <c r="K131" s="8" t="n">
        <v>0.1654</v>
      </c>
      <c r="L131" s="8" t="n">
        <v>0.2101</v>
      </c>
      <c r="M131" s="4" t="n">
        <f aca="false">IF(F131=J131,1,0)</f>
        <v>1</v>
      </c>
      <c r="N131" s="4" t="n">
        <f aca="false">IF(H131=J131,1,0)</f>
        <v>1</v>
      </c>
      <c r="O131" s="7" t="n">
        <f aca="false">-LN(K131)</f>
        <v>1.79938849639255</v>
      </c>
      <c r="P131" s="7" t="n">
        <f aca="false">-LN(L131)</f>
        <v>1.56017167113118</v>
      </c>
      <c r="Q131" s="7" t="n">
        <f aca="false">LN(E131)</f>
        <v>3.09104245335832</v>
      </c>
      <c r="R131" s="4" t="n">
        <v>2</v>
      </c>
      <c r="S131" s="4" t="n">
        <v>2</v>
      </c>
    </row>
    <row r="132" customFormat="false" ht="15" hidden="false" customHeight="false" outlineLevel="0" collapsed="false">
      <c r="A132" s="4" t="n">
        <v>2022</v>
      </c>
      <c r="B132" s="4" t="n">
        <v>9</v>
      </c>
      <c r="C132" s="4" t="s">
        <v>102</v>
      </c>
      <c r="D132" s="4" t="s">
        <v>93</v>
      </c>
      <c r="E132" s="4" t="n">
        <v>22</v>
      </c>
      <c r="F132" s="4" t="s">
        <v>100</v>
      </c>
      <c r="G132" s="8" t="n">
        <v>0.193</v>
      </c>
      <c r="H132" s="4" t="s">
        <v>100</v>
      </c>
      <c r="I132" s="8" t="n">
        <v>0.2523</v>
      </c>
      <c r="J132" s="4" t="s">
        <v>100</v>
      </c>
      <c r="K132" s="8" t="n">
        <v>0.193</v>
      </c>
      <c r="L132" s="8" t="n">
        <v>0.2523</v>
      </c>
      <c r="M132" s="4" t="n">
        <f aca="false">IF(F132=J132,1,0)</f>
        <v>1</v>
      </c>
      <c r="N132" s="4" t="n">
        <f aca="false">IF(H132=J132,1,0)</f>
        <v>1</v>
      </c>
      <c r="O132" s="7" t="n">
        <f aca="false">-LN(K132)</f>
        <v>1.64506509007725</v>
      </c>
      <c r="P132" s="7" t="n">
        <f aca="false">-LN(L132)</f>
        <v>1.37713642333512</v>
      </c>
      <c r="Q132" s="7" t="n">
        <f aca="false">LN(E132)</f>
        <v>3.09104245335832</v>
      </c>
      <c r="R132" s="4" t="n">
        <v>1</v>
      </c>
      <c r="S132" s="4" t="n">
        <v>1</v>
      </c>
    </row>
    <row r="133" customFormat="false" ht="15" hidden="false" customHeight="false" outlineLevel="0" collapsed="false">
      <c r="A133" s="4" t="n">
        <v>2022</v>
      </c>
      <c r="B133" s="4" t="n">
        <v>10</v>
      </c>
      <c r="C133" s="4" t="s">
        <v>105</v>
      </c>
      <c r="D133" s="4" t="s">
        <v>93</v>
      </c>
      <c r="E133" s="4" t="n">
        <v>22</v>
      </c>
      <c r="F133" s="4" t="s">
        <v>100</v>
      </c>
      <c r="G133" s="8" t="n">
        <v>0.2104</v>
      </c>
      <c r="H133" s="4" t="s">
        <v>100</v>
      </c>
      <c r="I133" s="8" t="n">
        <v>0.2765</v>
      </c>
      <c r="J133" s="4" t="s">
        <v>141</v>
      </c>
      <c r="K133" s="8" t="n">
        <v>0.086</v>
      </c>
      <c r="L133" s="8" t="n">
        <v>0.0834</v>
      </c>
      <c r="M133" s="4" t="n">
        <f aca="false">IF(F133=J133,1,0)</f>
        <v>0</v>
      </c>
      <c r="N133" s="4" t="n">
        <f aca="false">IF(H133=J133,1,0)</f>
        <v>0</v>
      </c>
      <c r="O133" s="7" t="n">
        <f aca="false">-LN(K133)</f>
        <v>2.45340798272863</v>
      </c>
      <c r="P133" s="7" t="n">
        <f aca="false">-LN(L133)</f>
        <v>2.48410696961744</v>
      </c>
      <c r="Q133" s="7" t="n">
        <f aca="false">LN(E133)</f>
        <v>3.09104245335832</v>
      </c>
      <c r="R133" s="4" t="n">
        <v>1</v>
      </c>
      <c r="S133" s="4" t="n">
        <v>2</v>
      </c>
    </row>
    <row r="134" customFormat="false" ht="15" hidden="false" customHeight="false" outlineLevel="0" collapsed="false">
      <c r="A134" s="4" t="n">
        <v>2022</v>
      </c>
      <c r="B134" s="4" t="n">
        <v>11</v>
      </c>
      <c r="C134" s="4" t="s">
        <v>104</v>
      </c>
      <c r="D134" s="4" t="s">
        <v>93</v>
      </c>
      <c r="E134" s="4" t="n">
        <v>22</v>
      </c>
      <c r="F134" s="4" t="s">
        <v>100</v>
      </c>
      <c r="G134" s="8" t="n">
        <v>0.2012</v>
      </c>
      <c r="H134" s="4" t="s">
        <v>100</v>
      </c>
      <c r="I134" s="8" t="n">
        <v>0.2556</v>
      </c>
      <c r="J134" s="4" t="s">
        <v>123</v>
      </c>
      <c r="K134" s="8" t="n">
        <v>0.1019</v>
      </c>
      <c r="L134" s="8" t="n">
        <v>0.1089</v>
      </c>
      <c r="M134" s="4" t="n">
        <f aca="false">IF(F134=J134,1,0)</f>
        <v>0</v>
      </c>
      <c r="N134" s="4" t="n">
        <f aca="false">IF(H134=J134,1,0)</f>
        <v>0</v>
      </c>
      <c r="O134" s="7" t="n">
        <f aca="false">-LN(K134)</f>
        <v>2.28376333875346</v>
      </c>
      <c r="P134" s="7" t="n">
        <f aca="false">-LN(L134)</f>
        <v>2.21732524904322</v>
      </c>
      <c r="Q134" s="7" t="n">
        <f aca="false">LN(E134)</f>
        <v>3.09104245335832</v>
      </c>
      <c r="R134" s="4" t="n">
        <v>2</v>
      </c>
      <c r="S134" s="4" t="n">
        <v>2</v>
      </c>
    </row>
    <row r="135" customFormat="false" ht="15" hidden="false" customHeight="false" outlineLevel="0" collapsed="false">
      <c r="A135" s="4" t="n">
        <v>2022</v>
      </c>
      <c r="B135" s="4" t="n">
        <v>12</v>
      </c>
      <c r="C135" s="4" t="s">
        <v>121</v>
      </c>
      <c r="D135" s="4" t="s">
        <v>93</v>
      </c>
      <c r="E135" s="4" t="n">
        <v>22</v>
      </c>
      <c r="F135" s="4" t="s">
        <v>100</v>
      </c>
      <c r="G135" s="8" t="n">
        <v>0.2081</v>
      </c>
      <c r="H135" s="4" t="s">
        <v>100</v>
      </c>
      <c r="I135" s="8" t="n">
        <v>0.2661</v>
      </c>
      <c r="J135" s="4" t="s">
        <v>100</v>
      </c>
      <c r="K135" s="8" t="n">
        <v>0.2081</v>
      </c>
      <c r="L135" s="8" t="n">
        <v>0.2661</v>
      </c>
      <c r="M135" s="4" t="n">
        <f aca="false">IF(F135=J135,1,0)</f>
        <v>1</v>
      </c>
      <c r="N135" s="4" t="n">
        <f aca="false">IF(H135=J135,1,0)</f>
        <v>1</v>
      </c>
      <c r="O135" s="7" t="n">
        <f aca="false">-LN(K135)</f>
        <v>1.56973654558255</v>
      </c>
      <c r="P135" s="7" t="n">
        <f aca="false">-LN(L135)</f>
        <v>1.32388310099849</v>
      </c>
      <c r="Q135" s="7" t="n">
        <f aca="false">LN(E135)</f>
        <v>3.09104245335832</v>
      </c>
      <c r="R135" s="4" t="n">
        <v>1</v>
      </c>
      <c r="S135" s="4" t="n">
        <v>2</v>
      </c>
    </row>
    <row r="136" customFormat="false" ht="15" hidden="false" customHeight="false" outlineLevel="0" collapsed="false">
      <c r="A136" s="4" t="n">
        <v>2022</v>
      </c>
      <c r="B136" s="4" t="n">
        <v>13</v>
      </c>
      <c r="C136" s="4" t="s">
        <v>106</v>
      </c>
      <c r="D136" s="4" t="s">
        <v>93</v>
      </c>
      <c r="E136" s="4" t="n">
        <v>22</v>
      </c>
      <c r="F136" s="4" t="s">
        <v>100</v>
      </c>
      <c r="G136" s="8" t="n">
        <v>0.2227</v>
      </c>
      <c r="H136" s="4" t="s">
        <v>100</v>
      </c>
      <c r="I136" s="8" t="n">
        <v>0.2935</v>
      </c>
      <c r="J136" s="4" t="s">
        <v>100</v>
      </c>
      <c r="K136" s="8" t="n">
        <v>0.2227</v>
      </c>
      <c r="L136" s="8" t="n">
        <v>0.2935</v>
      </c>
      <c r="M136" s="4" t="n">
        <f aca="false">IF(F136=J136,1,0)</f>
        <v>1</v>
      </c>
      <c r="N136" s="4" t="n">
        <f aca="false">IF(H136=J136,1,0)</f>
        <v>1</v>
      </c>
      <c r="O136" s="7" t="n">
        <f aca="false">-LN(K136)</f>
        <v>1.50192970471882</v>
      </c>
      <c r="P136" s="7" t="n">
        <f aca="false">-LN(L136)</f>
        <v>1.22587763971399</v>
      </c>
      <c r="Q136" s="7" t="n">
        <f aca="false">LN(E136)</f>
        <v>3.09104245335832</v>
      </c>
      <c r="R136" s="4" t="n">
        <v>2</v>
      </c>
      <c r="S136" s="4" t="n">
        <v>2</v>
      </c>
    </row>
    <row r="137" customFormat="false" ht="15" hidden="false" customHeight="false" outlineLevel="0" collapsed="false">
      <c r="A137" s="4" t="n">
        <v>2022</v>
      </c>
      <c r="B137" s="4" t="n">
        <v>14</v>
      </c>
      <c r="C137" s="4" t="s">
        <v>108</v>
      </c>
      <c r="D137" s="4" t="s">
        <v>93</v>
      </c>
      <c r="E137" s="4" t="n">
        <v>22</v>
      </c>
      <c r="F137" s="4" t="s">
        <v>100</v>
      </c>
      <c r="G137" s="8" t="n">
        <v>0.2358</v>
      </c>
      <c r="H137" s="4" t="s">
        <v>100</v>
      </c>
      <c r="I137" s="8" t="n">
        <v>0.315</v>
      </c>
      <c r="J137" s="4" t="s">
        <v>100</v>
      </c>
      <c r="K137" s="8" t="n">
        <v>0.2358</v>
      </c>
      <c r="L137" s="8" t="n">
        <v>0.315</v>
      </c>
      <c r="M137" s="4" t="n">
        <f aca="false">IF(F137=J137,1,0)</f>
        <v>1</v>
      </c>
      <c r="N137" s="4" t="n">
        <f aca="false">IF(H137=J137,1,0)</f>
        <v>1</v>
      </c>
      <c r="O137" s="7" t="n">
        <f aca="false">-LN(K137)</f>
        <v>1.44477129087887</v>
      </c>
      <c r="P137" s="7" t="n">
        <f aca="false">-LN(L137)</f>
        <v>1.1551826401565</v>
      </c>
      <c r="Q137" s="7" t="n">
        <f aca="false">LN(E137)</f>
        <v>3.09104245335832</v>
      </c>
      <c r="R137" s="4" t="n">
        <v>2</v>
      </c>
      <c r="S137" s="4" t="n">
        <v>2</v>
      </c>
    </row>
    <row r="138" customFormat="false" ht="15" hidden="false" customHeight="false" outlineLevel="0" collapsed="false">
      <c r="A138" s="4" t="n">
        <v>2022</v>
      </c>
      <c r="B138" s="4" t="n">
        <v>15</v>
      </c>
      <c r="C138" s="4" t="s">
        <v>135</v>
      </c>
      <c r="D138" s="4" t="s">
        <v>93</v>
      </c>
      <c r="E138" s="4" t="n">
        <v>22</v>
      </c>
      <c r="F138" s="4" t="s">
        <v>100</v>
      </c>
      <c r="G138" s="8" t="n">
        <v>0.2535</v>
      </c>
      <c r="H138" s="4" t="s">
        <v>100</v>
      </c>
      <c r="I138" s="8" t="n">
        <v>0.3482</v>
      </c>
      <c r="J138" s="4" t="s">
        <v>100</v>
      </c>
      <c r="K138" s="8" t="n">
        <v>0.2535</v>
      </c>
      <c r="L138" s="8" t="n">
        <v>0.3482</v>
      </c>
      <c r="M138" s="4" t="n">
        <f aca="false">IF(F138=J138,1,0)</f>
        <v>1</v>
      </c>
      <c r="N138" s="4" t="n">
        <f aca="false">IF(H138=J138,1,0)</f>
        <v>1</v>
      </c>
      <c r="O138" s="7" t="n">
        <f aca="false">-LN(K138)</f>
        <v>1.3723914559509</v>
      </c>
      <c r="P138" s="7" t="n">
        <f aca="false">-LN(L138)</f>
        <v>1.05497825164805</v>
      </c>
      <c r="Q138" s="7" t="n">
        <f aca="false">LN(E138)</f>
        <v>3.09104245335832</v>
      </c>
      <c r="R138" s="4" t="n">
        <v>1</v>
      </c>
      <c r="S138" s="4" t="n">
        <v>1</v>
      </c>
    </row>
    <row r="139" customFormat="false" ht="15" hidden="false" customHeight="false" outlineLevel="0" collapsed="false">
      <c r="A139" s="4" t="n">
        <v>2022</v>
      </c>
      <c r="B139" s="4" t="n">
        <v>16</v>
      </c>
      <c r="C139" s="4" t="s">
        <v>109</v>
      </c>
      <c r="D139" s="4" t="s">
        <v>93</v>
      </c>
      <c r="E139" s="4" t="n">
        <v>22</v>
      </c>
      <c r="F139" s="4" t="s">
        <v>100</v>
      </c>
      <c r="G139" s="8" t="n">
        <v>0.2632</v>
      </c>
      <c r="H139" s="4" t="s">
        <v>100</v>
      </c>
      <c r="I139" s="8" t="n">
        <v>0.3619</v>
      </c>
      <c r="J139" s="4" t="s">
        <v>100</v>
      </c>
      <c r="K139" s="8" t="n">
        <v>0.2632</v>
      </c>
      <c r="L139" s="8" t="n">
        <v>0.3619</v>
      </c>
      <c r="M139" s="4" t="n">
        <f aca="false">IF(F139=J139,1,0)</f>
        <v>1</v>
      </c>
      <c r="N139" s="4" t="n">
        <f aca="false">IF(H139=J139,1,0)</f>
        <v>1</v>
      </c>
      <c r="O139" s="7" t="n">
        <f aca="false">-LN(K139)</f>
        <v>1.33484107953097</v>
      </c>
      <c r="P139" s="7" t="n">
        <f aca="false">-LN(L139)</f>
        <v>1.01638734841244</v>
      </c>
      <c r="Q139" s="7" t="n">
        <f aca="false">LN(E139)</f>
        <v>3.09104245335832</v>
      </c>
      <c r="R139" s="4" t="n">
        <v>1</v>
      </c>
      <c r="S139" s="4" t="n">
        <v>1</v>
      </c>
    </row>
    <row r="140" customFormat="false" ht="15" hidden="false" customHeight="false" outlineLevel="0" collapsed="false">
      <c r="A140" s="4" t="n">
        <v>2022</v>
      </c>
      <c r="B140" s="4" t="n">
        <v>17</v>
      </c>
      <c r="C140" s="4" t="s">
        <v>110</v>
      </c>
      <c r="D140" s="4" t="s">
        <v>93</v>
      </c>
      <c r="E140" s="4" t="n">
        <v>22</v>
      </c>
      <c r="F140" s="4" t="s">
        <v>100</v>
      </c>
      <c r="G140" s="8" t="n">
        <v>0.2657</v>
      </c>
      <c r="H140" s="4" t="s">
        <v>100</v>
      </c>
      <c r="I140" s="8" t="n">
        <v>0.3629</v>
      </c>
      <c r="J140" s="4" t="s">
        <v>133</v>
      </c>
      <c r="K140" s="8" t="n">
        <v>0.1053</v>
      </c>
      <c r="L140" s="8" t="n">
        <v>0.1006</v>
      </c>
      <c r="M140" s="4" t="n">
        <f aca="false">IF(F140=J140,1,0)</f>
        <v>0</v>
      </c>
      <c r="N140" s="4" t="n">
        <f aca="false">IF(H140=J140,1,0)</f>
        <v>0</v>
      </c>
      <c r="O140" s="7" t="n">
        <f aca="false">-LN(K140)</f>
        <v>2.25094185984221</v>
      </c>
      <c r="P140" s="7" t="n">
        <f aca="false">-LN(L140)</f>
        <v>2.2966030213165</v>
      </c>
      <c r="Q140" s="7" t="n">
        <f aca="false">LN(E140)</f>
        <v>3.09104245335832</v>
      </c>
      <c r="R140" s="4" t="n">
        <v>1</v>
      </c>
      <c r="S140" s="4" t="n">
        <v>1</v>
      </c>
    </row>
    <row r="141" customFormat="false" ht="15" hidden="false" customHeight="false" outlineLevel="0" collapsed="false">
      <c r="A141" s="4" t="n">
        <v>2022</v>
      </c>
      <c r="B141" s="4" t="n">
        <v>18</v>
      </c>
      <c r="C141" s="4" t="s">
        <v>113</v>
      </c>
      <c r="D141" s="4" t="s">
        <v>93</v>
      </c>
      <c r="E141" s="4" t="n">
        <v>22</v>
      </c>
      <c r="F141" s="4" t="s">
        <v>100</v>
      </c>
      <c r="G141" s="8" t="n">
        <v>0.2652</v>
      </c>
      <c r="H141" s="4" t="s">
        <v>100</v>
      </c>
      <c r="I141" s="8" t="n">
        <v>0.3618</v>
      </c>
      <c r="J141" s="4" t="s">
        <v>100</v>
      </c>
      <c r="K141" s="8" t="n">
        <v>0.2652</v>
      </c>
      <c r="L141" s="8" t="n">
        <v>0.3618</v>
      </c>
      <c r="M141" s="4" t="n">
        <f aca="false">IF(F141=J141,1,0)</f>
        <v>1</v>
      </c>
      <c r="N141" s="4" t="n">
        <f aca="false">IF(H141=J141,1,0)</f>
        <v>1</v>
      </c>
      <c r="O141" s="7" t="n">
        <f aca="false">-LN(K141)</f>
        <v>1.32727102067043</v>
      </c>
      <c r="P141" s="7" t="n">
        <f aca="false">-LN(L141)</f>
        <v>1.01666370602094</v>
      </c>
      <c r="Q141" s="7" t="n">
        <f aca="false">LN(E141)</f>
        <v>3.09104245335832</v>
      </c>
      <c r="R141" s="4" t="n">
        <v>3</v>
      </c>
      <c r="S141" s="4" t="n">
        <v>3</v>
      </c>
    </row>
    <row r="142" customFormat="false" ht="15" hidden="false" customHeight="false" outlineLevel="0" collapsed="false">
      <c r="A142" s="4" t="n">
        <v>2022</v>
      </c>
      <c r="B142" s="4" t="n">
        <v>19</v>
      </c>
      <c r="C142" s="4" t="s">
        <v>114</v>
      </c>
      <c r="D142" s="4" t="s">
        <v>93</v>
      </c>
      <c r="E142" s="4" t="n">
        <v>22</v>
      </c>
      <c r="F142" s="4" t="s">
        <v>100</v>
      </c>
      <c r="G142" s="8" t="n">
        <v>0.2748</v>
      </c>
      <c r="H142" s="4" t="s">
        <v>100</v>
      </c>
      <c r="I142" s="8" t="n">
        <v>0.3801</v>
      </c>
      <c r="J142" s="4" t="s">
        <v>100</v>
      </c>
      <c r="K142" s="8" t="n">
        <v>0.2748</v>
      </c>
      <c r="L142" s="8" t="n">
        <v>0.3801</v>
      </c>
      <c r="M142" s="4" t="n">
        <f aca="false">IF(F142=J142,1,0)</f>
        <v>1</v>
      </c>
      <c r="N142" s="4" t="n">
        <f aca="false">IF(H142=J142,1,0)</f>
        <v>1</v>
      </c>
      <c r="O142" s="7" t="n">
        <f aca="false">-LN(K142)</f>
        <v>1.29171171863394</v>
      </c>
      <c r="P142" s="7" t="n">
        <f aca="false">-LN(L142)</f>
        <v>0.967320902986934</v>
      </c>
      <c r="Q142" s="7" t="n">
        <f aca="false">LN(E142)</f>
        <v>3.09104245335832</v>
      </c>
      <c r="R142" s="4" t="n">
        <v>2</v>
      </c>
      <c r="S142" s="4" t="n">
        <v>2</v>
      </c>
    </row>
    <row r="143" customFormat="false" ht="15" hidden="false" customHeight="false" outlineLevel="0" collapsed="false">
      <c r="A143" s="4" t="n">
        <v>2022</v>
      </c>
      <c r="B143" s="4" t="n">
        <v>20</v>
      </c>
      <c r="C143" s="4" t="s">
        <v>136</v>
      </c>
      <c r="D143" s="4" t="s">
        <v>93</v>
      </c>
      <c r="E143" s="4" t="n">
        <v>22</v>
      </c>
      <c r="F143" s="4" t="s">
        <v>100</v>
      </c>
      <c r="G143" s="8" t="n">
        <v>0.2798</v>
      </c>
      <c r="H143" s="4" t="s">
        <v>100</v>
      </c>
      <c r="I143" s="8" t="n">
        <v>0.3857</v>
      </c>
      <c r="J143" s="4" t="s">
        <v>100</v>
      </c>
      <c r="K143" s="8" t="n">
        <v>0.2798</v>
      </c>
      <c r="L143" s="8" t="n">
        <v>0.3857</v>
      </c>
      <c r="M143" s="4" t="n">
        <f aca="false">IF(F143=J143,1,0)</f>
        <v>1</v>
      </c>
      <c r="N143" s="4" t="n">
        <f aca="false">IF(H143=J143,1,0)</f>
        <v>1</v>
      </c>
      <c r="O143" s="7" t="n">
        <f aca="false">-LN(K143)</f>
        <v>1.27368021675076</v>
      </c>
      <c r="P143" s="7" t="n">
        <f aca="false">-LN(L143)</f>
        <v>0.952695413767955</v>
      </c>
      <c r="Q143" s="7" t="n">
        <f aca="false">LN(E143)</f>
        <v>3.09104245335832</v>
      </c>
      <c r="R143" s="4" t="n">
        <v>2</v>
      </c>
      <c r="S143" s="4" t="n">
        <v>2</v>
      </c>
    </row>
    <row r="144" customFormat="false" ht="15" hidden="false" customHeight="false" outlineLevel="0" collapsed="false">
      <c r="A144" s="4" t="n">
        <v>2022</v>
      </c>
      <c r="B144" s="4" t="n">
        <v>21</v>
      </c>
      <c r="C144" s="4" t="s">
        <v>137</v>
      </c>
      <c r="D144" s="4" t="s">
        <v>93</v>
      </c>
      <c r="E144" s="4" t="n">
        <v>22</v>
      </c>
      <c r="F144" s="4" t="s">
        <v>100</v>
      </c>
      <c r="G144" s="8" t="n">
        <v>0.2837</v>
      </c>
      <c r="H144" s="4" t="s">
        <v>100</v>
      </c>
      <c r="I144" s="8" t="n">
        <v>0.3903</v>
      </c>
      <c r="J144" s="4" t="s">
        <v>142</v>
      </c>
      <c r="K144" s="8" t="n">
        <v>0.0691</v>
      </c>
      <c r="L144" s="8" t="n">
        <v>0.0623</v>
      </c>
      <c r="M144" s="4" t="n">
        <f aca="false">IF(F144=J144,1,0)</f>
        <v>0</v>
      </c>
      <c r="N144" s="4" t="n">
        <f aca="false">IF(H144=J144,1,0)</f>
        <v>0</v>
      </c>
      <c r="O144" s="7" t="n">
        <f aca="false">-LN(K144)</f>
        <v>2.67220054820851</v>
      </c>
      <c r="P144" s="7" t="n">
        <f aca="false">-LN(L144)</f>
        <v>2.77579385318873</v>
      </c>
      <c r="Q144" s="7" t="n">
        <f aca="false">LN(E144)</f>
        <v>3.09104245335832</v>
      </c>
      <c r="R144" s="4" t="n">
        <v>0</v>
      </c>
      <c r="S144" s="4" t="n">
        <v>0</v>
      </c>
    </row>
    <row r="145" customFormat="false" ht="15" hidden="false" customHeight="false" outlineLevel="0" collapsed="false">
      <c r="A145" s="4" t="n">
        <v>2022</v>
      </c>
      <c r="B145" s="4" t="n">
        <v>22</v>
      </c>
      <c r="C145" s="4" t="s">
        <v>117</v>
      </c>
      <c r="D145" s="4" t="s">
        <v>93</v>
      </c>
      <c r="E145" s="4" t="n">
        <v>22</v>
      </c>
      <c r="F145" s="4" t="s">
        <v>100</v>
      </c>
      <c r="G145" s="8" t="n">
        <v>0.2714</v>
      </c>
      <c r="H145" s="4" t="s">
        <v>100</v>
      </c>
      <c r="I145" s="8" t="n">
        <v>0.3612</v>
      </c>
      <c r="J145" s="4" t="s">
        <v>100</v>
      </c>
      <c r="K145" s="8" t="n">
        <v>0.2714</v>
      </c>
      <c r="L145" s="8" t="n">
        <v>0.3612</v>
      </c>
      <c r="M145" s="4" t="n">
        <f aca="false">IF(F145=J145,1,0)</f>
        <v>1</v>
      </c>
      <c r="N145" s="4" t="n">
        <f aca="false">IF(H145=J145,1,0)</f>
        <v>1</v>
      </c>
      <c r="O145" s="7" t="n">
        <f aca="false">-LN(K145)</f>
        <v>1.30416153158137</v>
      </c>
      <c r="P145" s="7" t="n">
        <f aca="false">-LN(L145)</f>
        <v>1.01832345743931</v>
      </c>
      <c r="Q145" s="7" t="n">
        <f aca="false">LN(E145)</f>
        <v>3.09104245335832</v>
      </c>
      <c r="R145" s="4" t="n">
        <v>3</v>
      </c>
      <c r="S145" s="4" t="n">
        <v>2</v>
      </c>
    </row>
    <row r="146" customFormat="false" ht="15" hidden="false" customHeight="false" outlineLevel="0" collapsed="false">
      <c r="A146" s="4" t="n">
        <v>2023</v>
      </c>
      <c r="B146" s="4" t="n">
        <v>1</v>
      </c>
      <c r="C146" s="4" t="s">
        <v>96</v>
      </c>
      <c r="D146" s="4" t="s">
        <v>93</v>
      </c>
      <c r="E146" s="4" t="n">
        <v>22</v>
      </c>
      <c r="F146" s="4" t="s">
        <v>100</v>
      </c>
      <c r="G146" s="8" t="n">
        <v>0.1297</v>
      </c>
      <c r="H146" s="4" t="s">
        <v>100</v>
      </c>
      <c r="I146" s="8" t="n">
        <v>0.1561</v>
      </c>
      <c r="J146" s="4" t="s">
        <v>100</v>
      </c>
      <c r="K146" s="8" t="n">
        <v>0.1297</v>
      </c>
      <c r="L146" s="8" t="n">
        <v>0.1561</v>
      </c>
      <c r="M146" s="4" t="n">
        <f aca="false">IF(F146=J146,1,0)</f>
        <v>1</v>
      </c>
      <c r="N146" s="4" t="n">
        <f aca="false">IF(H146=J146,1,0)</f>
        <v>1</v>
      </c>
      <c r="O146" s="7" t="n">
        <f aca="false">-LN(K146)</f>
        <v>2.04253118765974</v>
      </c>
      <c r="P146" s="7" t="n">
        <f aca="false">-LN(L146)</f>
        <v>1.85725845146075</v>
      </c>
      <c r="Q146" s="7" t="n">
        <f aca="false">LN(E146)</f>
        <v>3.09104245335832</v>
      </c>
      <c r="R146" s="4" t="n">
        <v>2</v>
      </c>
      <c r="S146" s="4" t="n">
        <v>2</v>
      </c>
    </row>
    <row r="147" customFormat="false" ht="15" hidden="false" customHeight="false" outlineLevel="0" collapsed="false">
      <c r="A147" s="4" t="n">
        <v>2023</v>
      </c>
      <c r="B147" s="4" t="n">
        <v>2</v>
      </c>
      <c r="C147" s="4" t="s">
        <v>139</v>
      </c>
      <c r="D147" s="4" t="s">
        <v>93</v>
      </c>
      <c r="E147" s="4" t="n">
        <v>22</v>
      </c>
      <c r="F147" s="4" t="s">
        <v>100</v>
      </c>
      <c r="G147" s="8" t="n">
        <v>0.2171</v>
      </c>
      <c r="H147" s="4" t="s">
        <v>100</v>
      </c>
      <c r="I147" s="8" t="n">
        <v>0.2902</v>
      </c>
      <c r="J147" s="4" t="s">
        <v>133</v>
      </c>
      <c r="K147" s="8" t="n">
        <v>0.1694</v>
      </c>
      <c r="L147" s="8" t="n">
        <v>0.2057</v>
      </c>
      <c r="M147" s="4" t="n">
        <f aca="false">IF(F147=J147,1,0)</f>
        <v>0</v>
      </c>
      <c r="N147" s="4" t="n">
        <f aca="false">IF(H147=J147,1,0)</f>
        <v>0</v>
      </c>
      <c r="O147" s="7" t="n">
        <f aca="false">-LN(K147)</f>
        <v>1.77549249676418</v>
      </c>
      <c r="P147" s="7" t="n">
        <f aca="false">-LN(L147)</f>
        <v>1.58133648232323</v>
      </c>
      <c r="Q147" s="7" t="n">
        <f aca="false">LN(E147)</f>
        <v>3.09104245335832</v>
      </c>
      <c r="R147" s="4" t="n">
        <v>2</v>
      </c>
      <c r="S147" s="4" t="n">
        <v>2</v>
      </c>
    </row>
    <row r="148" customFormat="false" ht="15" hidden="false" customHeight="false" outlineLevel="0" collapsed="false">
      <c r="A148" s="4" t="n">
        <v>2023</v>
      </c>
      <c r="B148" s="4" t="n">
        <v>3</v>
      </c>
      <c r="C148" s="4" t="s">
        <v>92</v>
      </c>
      <c r="D148" s="4" t="s">
        <v>93</v>
      </c>
      <c r="E148" s="4" t="n">
        <v>22</v>
      </c>
      <c r="F148" s="4" t="s">
        <v>100</v>
      </c>
      <c r="G148" s="8" t="n">
        <v>0.2622</v>
      </c>
      <c r="H148" s="4" t="s">
        <v>100</v>
      </c>
      <c r="I148" s="8" t="n">
        <v>0.3384</v>
      </c>
      <c r="J148" s="4" t="s">
        <v>100</v>
      </c>
      <c r="K148" s="8" t="n">
        <v>0.2622</v>
      </c>
      <c r="L148" s="8" t="n">
        <v>0.3384</v>
      </c>
      <c r="M148" s="4" t="n">
        <f aca="false">IF(F148=J148,1,0)</f>
        <v>1</v>
      </c>
      <c r="N148" s="4" t="n">
        <f aca="false">IF(H148=J148,1,0)</f>
        <v>1</v>
      </c>
      <c r="O148" s="7" t="n">
        <f aca="false">-LN(K148)</f>
        <v>1.33864770765254</v>
      </c>
      <c r="P148" s="7" t="n">
        <f aca="false">-LN(L148)</f>
        <v>1.08352665125007</v>
      </c>
      <c r="Q148" s="7" t="n">
        <f aca="false">LN(E148)</f>
        <v>3.09104245335832</v>
      </c>
      <c r="R148" s="4" t="n">
        <v>2</v>
      </c>
      <c r="S148" s="4" t="n">
        <v>2</v>
      </c>
    </row>
    <row r="149" customFormat="false" ht="15" hidden="false" customHeight="false" outlineLevel="0" collapsed="false">
      <c r="A149" s="4" t="n">
        <v>2023</v>
      </c>
      <c r="B149" s="4" t="n">
        <v>4</v>
      </c>
      <c r="C149" s="4" t="s">
        <v>120</v>
      </c>
      <c r="D149" s="4" t="s">
        <v>93</v>
      </c>
      <c r="E149" s="4" t="n">
        <v>22</v>
      </c>
      <c r="F149" s="4" t="s">
        <v>100</v>
      </c>
      <c r="G149" s="8" t="n">
        <v>0.2927</v>
      </c>
      <c r="H149" s="4" t="s">
        <v>100</v>
      </c>
      <c r="I149" s="8" t="n">
        <v>0.377</v>
      </c>
      <c r="J149" s="4" t="s">
        <v>133</v>
      </c>
      <c r="K149" s="8" t="n">
        <v>0.2169</v>
      </c>
      <c r="L149" s="8" t="n">
        <v>0.2487</v>
      </c>
      <c r="M149" s="4" t="n">
        <f aca="false">IF(F149=J149,1,0)</f>
        <v>0</v>
      </c>
      <c r="N149" s="4" t="n">
        <f aca="false">IF(H149=J149,1,0)</f>
        <v>0</v>
      </c>
      <c r="O149" s="7" t="n">
        <f aca="false">-LN(K149)</f>
        <v>1.52831886114931</v>
      </c>
      <c r="P149" s="7" t="n">
        <f aca="false">-LN(L149)</f>
        <v>1.39150792817278</v>
      </c>
      <c r="Q149" s="7" t="n">
        <f aca="false">LN(E149)</f>
        <v>3.09104245335832</v>
      </c>
      <c r="R149" s="4" t="n">
        <v>2</v>
      </c>
      <c r="S149" s="4" t="n">
        <v>2</v>
      </c>
    </row>
    <row r="150" customFormat="false" ht="15" hidden="false" customHeight="false" outlineLevel="0" collapsed="false">
      <c r="A150" s="4" t="n">
        <v>2023</v>
      </c>
      <c r="B150" s="4" t="n">
        <v>5</v>
      </c>
      <c r="C150" s="4" t="s">
        <v>140</v>
      </c>
      <c r="D150" s="4" t="s">
        <v>93</v>
      </c>
      <c r="E150" s="4" t="n">
        <v>22</v>
      </c>
      <c r="F150" s="4" t="s">
        <v>100</v>
      </c>
      <c r="G150" s="8" t="n">
        <v>0.2954</v>
      </c>
      <c r="H150" s="4" t="s">
        <v>100</v>
      </c>
      <c r="I150" s="8" t="n">
        <v>0.3753</v>
      </c>
      <c r="J150" s="4" t="s">
        <v>100</v>
      </c>
      <c r="K150" s="8" t="n">
        <v>0.2954</v>
      </c>
      <c r="L150" s="8" t="n">
        <v>0.3753</v>
      </c>
      <c r="M150" s="4" t="n">
        <f aca="false">IF(F150=J150,1,0)</f>
        <v>1</v>
      </c>
      <c r="N150" s="4" t="n">
        <f aca="false">IF(H150=J150,1,0)</f>
        <v>1</v>
      </c>
      <c r="O150" s="7" t="n">
        <f aca="false">-LN(K150)</f>
        <v>1.21942490888486</v>
      </c>
      <c r="P150" s="7" t="n">
        <f aca="false">-LN(L150)</f>
        <v>0.980029572841162</v>
      </c>
      <c r="Q150" s="7" t="n">
        <f aca="false">LN(E150)</f>
        <v>3.09104245335832</v>
      </c>
      <c r="R150" s="4" t="n">
        <v>2</v>
      </c>
      <c r="S150" s="4" t="n">
        <v>2</v>
      </c>
    </row>
    <row r="151" customFormat="false" ht="15" hidden="false" customHeight="false" outlineLevel="0" collapsed="false">
      <c r="A151" s="4" t="n">
        <v>2023</v>
      </c>
      <c r="B151" s="4" t="n">
        <v>6</v>
      </c>
      <c r="C151" s="4" t="s">
        <v>101</v>
      </c>
      <c r="D151" s="4" t="s">
        <v>93</v>
      </c>
      <c r="E151" s="4" t="n">
        <v>22</v>
      </c>
      <c r="F151" s="4" t="s">
        <v>100</v>
      </c>
      <c r="G151" s="8" t="n">
        <v>0.312</v>
      </c>
      <c r="H151" s="4" t="s">
        <v>100</v>
      </c>
      <c r="I151" s="8" t="n">
        <v>0.3977</v>
      </c>
      <c r="J151" s="4" t="s">
        <v>100</v>
      </c>
      <c r="K151" s="8" t="n">
        <v>0.312</v>
      </c>
      <c r="L151" s="8" t="n">
        <v>0.3977</v>
      </c>
      <c r="M151" s="4" t="n">
        <f aca="false">IF(F151=J151,1,0)</f>
        <v>1</v>
      </c>
      <c r="N151" s="4" t="n">
        <f aca="false">IF(H151=J151,1,0)</f>
        <v>1</v>
      </c>
      <c r="O151" s="7" t="n">
        <f aca="false">-LN(K151)</f>
        <v>1.16475209117265</v>
      </c>
      <c r="P151" s="7" t="n">
        <f aca="false">-LN(L151)</f>
        <v>0.922057326768492</v>
      </c>
      <c r="Q151" s="7" t="n">
        <f aca="false">LN(E151)</f>
        <v>3.09104245335832</v>
      </c>
      <c r="R151" s="4" t="n">
        <v>1</v>
      </c>
      <c r="S151" s="4" t="n">
        <v>1</v>
      </c>
    </row>
    <row r="152" customFormat="false" ht="15" hidden="false" customHeight="false" outlineLevel="0" collapsed="false">
      <c r="A152" s="4" t="n">
        <v>2023</v>
      </c>
      <c r="B152" s="4" t="n">
        <v>7</v>
      </c>
      <c r="C152" s="4" t="s">
        <v>99</v>
      </c>
      <c r="D152" s="4" t="s">
        <v>93</v>
      </c>
      <c r="E152" s="4" t="n">
        <v>22</v>
      </c>
      <c r="F152" s="4" t="s">
        <v>100</v>
      </c>
      <c r="G152" s="8" t="n">
        <v>0.3261</v>
      </c>
      <c r="H152" s="4" t="s">
        <v>100</v>
      </c>
      <c r="I152" s="8" t="n">
        <v>0.4233</v>
      </c>
      <c r="J152" s="4" t="s">
        <v>100</v>
      </c>
      <c r="K152" s="8" t="n">
        <v>0.3261</v>
      </c>
      <c r="L152" s="8" t="n">
        <v>0.4233</v>
      </c>
      <c r="M152" s="4" t="n">
        <f aca="false">IF(F152=J152,1,0)</f>
        <v>1</v>
      </c>
      <c r="N152" s="4" t="n">
        <f aca="false">IF(H152=J152,1,0)</f>
        <v>1</v>
      </c>
      <c r="O152" s="7" t="n">
        <f aca="false">-LN(K152)</f>
        <v>1.12055119618686</v>
      </c>
      <c r="P152" s="7" t="n">
        <f aca="false">-LN(L152)</f>
        <v>0.859674131455259</v>
      </c>
      <c r="Q152" s="7" t="n">
        <f aca="false">LN(E152)</f>
        <v>3.09104245335832</v>
      </c>
      <c r="R152" s="4" t="n">
        <v>2</v>
      </c>
      <c r="S152" s="4" t="n">
        <v>2</v>
      </c>
    </row>
    <row r="153" customFormat="false" ht="15" hidden="false" customHeight="false" outlineLevel="0" collapsed="false">
      <c r="A153" s="4" t="n">
        <v>2023</v>
      </c>
      <c r="B153" s="4" t="n">
        <v>8</v>
      </c>
      <c r="C153" s="4" t="s">
        <v>102</v>
      </c>
      <c r="D153" s="4" t="s">
        <v>93</v>
      </c>
      <c r="E153" s="4" t="n">
        <v>22</v>
      </c>
      <c r="F153" s="4" t="s">
        <v>100</v>
      </c>
      <c r="G153" s="8" t="n">
        <v>0.3346</v>
      </c>
      <c r="H153" s="4" t="s">
        <v>100</v>
      </c>
      <c r="I153" s="8" t="n">
        <v>0.4388</v>
      </c>
      <c r="J153" s="4" t="s">
        <v>100</v>
      </c>
      <c r="K153" s="8" t="n">
        <v>0.3346</v>
      </c>
      <c r="L153" s="8" t="n">
        <v>0.4388</v>
      </c>
      <c r="M153" s="4" t="n">
        <f aca="false">IF(F153=J153,1,0)</f>
        <v>1</v>
      </c>
      <c r="N153" s="4" t="n">
        <f aca="false">IF(H153=J153,1,0)</f>
        <v>1</v>
      </c>
      <c r="O153" s="7" t="n">
        <f aca="false">-LN(K153)</f>
        <v>1.09481949042941</v>
      </c>
      <c r="P153" s="7" t="n">
        <f aca="false">-LN(L153)</f>
        <v>0.823711550581062</v>
      </c>
      <c r="Q153" s="7" t="n">
        <f aca="false">LN(E153)</f>
        <v>3.09104245335832</v>
      </c>
      <c r="R153" s="4" t="n">
        <v>2</v>
      </c>
      <c r="S153" s="4" t="n">
        <v>2</v>
      </c>
    </row>
    <row r="154" customFormat="false" ht="15" hidden="false" customHeight="false" outlineLevel="0" collapsed="false">
      <c r="A154" s="4" t="n">
        <v>2023</v>
      </c>
      <c r="B154" s="4" t="n">
        <v>9</v>
      </c>
      <c r="C154" s="4" t="s">
        <v>104</v>
      </c>
      <c r="D154" s="4" t="s">
        <v>93</v>
      </c>
      <c r="E154" s="4" t="n">
        <v>22</v>
      </c>
      <c r="F154" s="4" t="s">
        <v>100</v>
      </c>
      <c r="G154" s="8" t="n">
        <v>0.3443</v>
      </c>
      <c r="H154" s="4" t="s">
        <v>100</v>
      </c>
      <c r="I154" s="8" t="n">
        <v>0.4559</v>
      </c>
      <c r="J154" s="4" t="s">
        <v>100</v>
      </c>
      <c r="K154" s="8" t="n">
        <v>0.3443</v>
      </c>
      <c r="L154" s="8" t="n">
        <v>0.4559</v>
      </c>
      <c r="M154" s="4" t="n">
        <f aca="false">IF(F154=J154,1,0)</f>
        <v>1</v>
      </c>
      <c r="N154" s="4" t="n">
        <f aca="false">IF(H154=J154,1,0)</f>
        <v>1</v>
      </c>
      <c r="O154" s="7" t="n">
        <f aca="false">-LN(K154)</f>
        <v>1.06624190863766</v>
      </c>
      <c r="P154" s="7" t="n">
        <f aca="false">-LN(L154)</f>
        <v>0.785481791762741</v>
      </c>
      <c r="Q154" s="7" t="n">
        <f aca="false">LN(E154)</f>
        <v>3.09104245335832</v>
      </c>
      <c r="R154" s="4" t="n">
        <v>2</v>
      </c>
      <c r="S154" s="4" t="n">
        <v>2</v>
      </c>
    </row>
    <row r="155" customFormat="false" ht="15" hidden="false" customHeight="false" outlineLevel="0" collapsed="false">
      <c r="A155" s="4" t="n">
        <v>2023</v>
      </c>
      <c r="B155" s="4" t="n">
        <v>10</v>
      </c>
      <c r="C155" s="4" t="s">
        <v>105</v>
      </c>
      <c r="D155" s="4" t="s">
        <v>93</v>
      </c>
      <c r="E155" s="4" t="n">
        <v>22</v>
      </c>
      <c r="F155" s="4" t="s">
        <v>100</v>
      </c>
      <c r="G155" s="8" t="n">
        <v>0.3568</v>
      </c>
      <c r="H155" s="4" t="s">
        <v>100</v>
      </c>
      <c r="I155" s="8" t="n">
        <v>0.4784</v>
      </c>
      <c r="J155" s="4" t="s">
        <v>100</v>
      </c>
      <c r="K155" s="8" t="n">
        <v>0.3568</v>
      </c>
      <c r="L155" s="8" t="n">
        <v>0.4784</v>
      </c>
      <c r="M155" s="4" t="n">
        <f aca="false">IF(F155=J155,1,0)</f>
        <v>1</v>
      </c>
      <c r="N155" s="4" t="n">
        <f aca="false">IF(H155=J155,1,0)</f>
        <v>1</v>
      </c>
      <c r="O155" s="7" t="n">
        <f aca="false">-LN(K155)</f>
        <v>1.03057987827628</v>
      </c>
      <c r="P155" s="7" t="n">
        <f aca="false">-LN(L155)</f>
        <v>0.737308076345715</v>
      </c>
      <c r="Q155" s="7" t="n">
        <f aca="false">LN(E155)</f>
        <v>3.09104245335832</v>
      </c>
      <c r="R155" s="4" t="n">
        <v>2</v>
      </c>
      <c r="S155" s="4" t="n">
        <v>2</v>
      </c>
    </row>
    <row r="156" customFormat="false" ht="15" hidden="false" customHeight="false" outlineLevel="0" collapsed="false">
      <c r="A156" s="4" t="n">
        <v>2023</v>
      </c>
      <c r="B156" s="4" t="n">
        <v>11</v>
      </c>
      <c r="C156" s="4" t="s">
        <v>106</v>
      </c>
      <c r="D156" s="4" t="s">
        <v>93</v>
      </c>
      <c r="E156" s="4" t="n">
        <v>22</v>
      </c>
      <c r="F156" s="4" t="s">
        <v>100</v>
      </c>
      <c r="G156" s="8" t="n">
        <v>0.3728</v>
      </c>
      <c r="H156" s="4" t="s">
        <v>100</v>
      </c>
      <c r="I156" s="8" t="n">
        <v>0.5033</v>
      </c>
      <c r="J156" s="4" t="s">
        <v>100</v>
      </c>
      <c r="K156" s="8" t="n">
        <v>0.3728</v>
      </c>
      <c r="L156" s="8" t="n">
        <v>0.5033</v>
      </c>
      <c r="M156" s="4" t="n">
        <f aca="false">IF(F156=J156,1,0)</f>
        <v>1</v>
      </c>
      <c r="N156" s="4" t="n">
        <f aca="false">IF(H156=J156,1,0)</f>
        <v>1</v>
      </c>
      <c r="O156" s="7" t="n">
        <f aca="false">-LN(K156)</f>
        <v>0.986713196170701</v>
      </c>
      <c r="P156" s="7" t="n">
        <f aca="false">-LN(L156)</f>
        <v>0.686568865199823</v>
      </c>
      <c r="Q156" s="7" t="n">
        <f aca="false">LN(E156)</f>
        <v>3.09104245335832</v>
      </c>
      <c r="R156" s="4" t="n">
        <v>2</v>
      </c>
      <c r="S156" s="4" t="n">
        <v>2</v>
      </c>
    </row>
    <row r="157" customFormat="false" ht="15" hidden="false" customHeight="false" outlineLevel="0" collapsed="false">
      <c r="A157" s="4" t="n">
        <v>2023</v>
      </c>
      <c r="B157" s="4" t="n">
        <v>12</v>
      </c>
      <c r="C157" s="4" t="s">
        <v>108</v>
      </c>
      <c r="D157" s="4" t="s">
        <v>93</v>
      </c>
      <c r="E157" s="4" t="n">
        <v>22</v>
      </c>
      <c r="F157" s="4" t="s">
        <v>100</v>
      </c>
      <c r="G157" s="8" t="n">
        <v>0.3759</v>
      </c>
      <c r="H157" s="4" t="s">
        <v>100</v>
      </c>
      <c r="I157" s="8" t="n">
        <v>0.5093</v>
      </c>
      <c r="J157" s="4" t="s">
        <v>100</v>
      </c>
      <c r="K157" s="8" t="n">
        <v>0.3759</v>
      </c>
      <c r="L157" s="8" t="n">
        <v>0.5093</v>
      </c>
      <c r="M157" s="4" t="n">
        <f aca="false">IF(F157=J157,1,0)</f>
        <v>1</v>
      </c>
      <c r="N157" s="4" t="n">
        <f aca="false">IF(H157=J157,1,0)</f>
        <v>1</v>
      </c>
      <c r="O157" s="7" t="n">
        <f aca="false">-LN(K157)</f>
        <v>0.978432128412005</v>
      </c>
      <c r="P157" s="7" t="n">
        <f aca="false">-LN(L157)</f>
        <v>0.674718045091578</v>
      </c>
      <c r="Q157" s="7" t="n">
        <f aca="false">LN(E157)</f>
        <v>3.09104245335832</v>
      </c>
      <c r="R157" s="4" t="n">
        <v>2</v>
      </c>
      <c r="S157" s="4" t="n">
        <v>2</v>
      </c>
    </row>
    <row r="158" customFormat="false" ht="15" hidden="false" customHeight="false" outlineLevel="0" collapsed="false">
      <c r="A158" s="4" t="n">
        <v>2023</v>
      </c>
      <c r="B158" s="4" t="n">
        <v>13</v>
      </c>
      <c r="C158" s="4" t="s">
        <v>135</v>
      </c>
      <c r="D158" s="4" t="s">
        <v>93</v>
      </c>
      <c r="E158" s="4" t="n">
        <v>22</v>
      </c>
      <c r="F158" s="4" t="s">
        <v>100</v>
      </c>
      <c r="G158" s="8" t="n">
        <v>0.3798</v>
      </c>
      <c r="H158" s="4" t="s">
        <v>100</v>
      </c>
      <c r="I158" s="8" t="n">
        <v>0.5154</v>
      </c>
      <c r="J158" s="4" t="s">
        <v>100</v>
      </c>
      <c r="K158" s="8" t="n">
        <v>0.3798</v>
      </c>
      <c r="L158" s="8" t="n">
        <v>0.5154</v>
      </c>
      <c r="M158" s="4" t="n">
        <f aca="false">IF(F158=J158,1,0)</f>
        <v>1</v>
      </c>
      <c r="N158" s="4" t="n">
        <f aca="false">IF(H158=J158,1,0)</f>
        <v>1</v>
      </c>
      <c r="O158" s="7" t="n">
        <f aca="false">-LN(K158)</f>
        <v>0.968110480603951</v>
      </c>
      <c r="P158" s="7" t="n">
        <f aca="false">-LN(L158)</f>
        <v>0.662811980763872</v>
      </c>
      <c r="Q158" s="7" t="n">
        <f aca="false">LN(E158)</f>
        <v>3.09104245335832</v>
      </c>
      <c r="R158" s="4" t="n">
        <v>1</v>
      </c>
      <c r="S158" s="4" t="n">
        <v>1</v>
      </c>
    </row>
    <row r="159" customFormat="false" ht="15" hidden="false" customHeight="false" outlineLevel="0" collapsed="false">
      <c r="A159" s="4" t="n">
        <v>2023</v>
      </c>
      <c r="B159" s="4" t="n">
        <v>14</v>
      </c>
      <c r="C159" s="4" t="s">
        <v>109</v>
      </c>
      <c r="D159" s="4" t="s">
        <v>93</v>
      </c>
      <c r="E159" s="4" t="n">
        <v>22</v>
      </c>
      <c r="F159" s="4" t="s">
        <v>100</v>
      </c>
      <c r="G159" s="8" t="n">
        <v>0.3831</v>
      </c>
      <c r="H159" s="4" t="s">
        <v>100</v>
      </c>
      <c r="I159" s="8" t="n">
        <v>0.5199</v>
      </c>
      <c r="J159" s="4" t="s">
        <v>100</v>
      </c>
      <c r="K159" s="8" t="n">
        <v>0.3831</v>
      </c>
      <c r="L159" s="8" t="n">
        <v>0.5199</v>
      </c>
      <c r="M159" s="4" t="n">
        <f aca="false">IF(F159=J159,1,0)</f>
        <v>1</v>
      </c>
      <c r="N159" s="4" t="n">
        <f aca="false">IF(H159=J159,1,0)</f>
        <v>1</v>
      </c>
      <c r="O159" s="7" t="n">
        <f aca="false">-LN(K159)</f>
        <v>0.959459227275534</v>
      </c>
      <c r="P159" s="7" t="n">
        <f aca="false">-LN(L159)</f>
        <v>0.654118793592467</v>
      </c>
      <c r="Q159" s="7" t="n">
        <f aca="false">LN(E159)</f>
        <v>3.09104245335832</v>
      </c>
      <c r="R159" s="4" t="n">
        <v>2</v>
      </c>
      <c r="S159" s="4" t="n">
        <v>2</v>
      </c>
    </row>
    <row r="160" customFormat="false" ht="15" hidden="false" customHeight="false" outlineLevel="0" collapsed="false">
      <c r="A160" s="4" t="n">
        <v>2023</v>
      </c>
      <c r="B160" s="4" t="n">
        <v>15</v>
      </c>
      <c r="C160" s="4" t="s">
        <v>110</v>
      </c>
      <c r="D160" s="4" t="s">
        <v>93</v>
      </c>
      <c r="E160" s="4" t="n">
        <v>22</v>
      </c>
      <c r="F160" s="4" t="s">
        <v>100</v>
      </c>
      <c r="G160" s="8" t="n">
        <v>0.387</v>
      </c>
      <c r="H160" s="4" t="s">
        <v>100</v>
      </c>
      <c r="I160" s="8" t="n">
        <v>0.5257</v>
      </c>
      <c r="J160" s="4" t="s">
        <v>141</v>
      </c>
      <c r="K160" s="8" t="n">
        <v>0.0392</v>
      </c>
      <c r="L160" s="8" t="n">
        <v>0.03</v>
      </c>
      <c r="M160" s="4" t="n">
        <f aca="false">IF(F160=J160,1,0)</f>
        <v>0</v>
      </c>
      <c r="N160" s="4" t="n">
        <f aca="false">IF(H160=J160,1,0)</f>
        <v>0</v>
      </c>
      <c r="O160" s="7" t="n">
        <f aca="false">-LN(K160)</f>
        <v>3.23907853218572</v>
      </c>
      <c r="P160" s="7" t="n">
        <f aca="false">-LN(L160)</f>
        <v>3.50655789731998</v>
      </c>
      <c r="Q160" s="7" t="n">
        <f aca="false">LN(E160)</f>
        <v>3.09104245335832</v>
      </c>
      <c r="R160" s="4" t="n">
        <v>1</v>
      </c>
      <c r="S160" s="4" t="n">
        <v>1</v>
      </c>
    </row>
    <row r="161" customFormat="false" ht="15" hidden="false" customHeight="false" outlineLevel="0" collapsed="false">
      <c r="A161" s="4" t="n">
        <v>2023</v>
      </c>
      <c r="B161" s="4" t="n">
        <v>16</v>
      </c>
      <c r="C161" s="4" t="s">
        <v>113</v>
      </c>
      <c r="D161" s="4" t="s">
        <v>93</v>
      </c>
      <c r="E161" s="4" t="n">
        <v>22</v>
      </c>
      <c r="F161" s="4" t="s">
        <v>100</v>
      </c>
      <c r="G161" s="8" t="n">
        <v>0.3724</v>
      </c>
      <c r="H161" s="4" t="s">
        <v>100</v>
      </c>
      <c r="I161" s="8" t="n">
        <v>0.4979</v>
      </c>
      <c r="J161" s="4" t="s">
        <v>100</v>
      </c>
      <c r="K161" s="8" t="n">
        <v>0.3724</v>
      </c>
      <c r="L161" s="8" t="n">
        <v>0.4979</v>
      </c>
      <c r="M161" s="4" t="n">
        <f aca="false">IF(F161=J161,1,0)</f>
        <v>1</v>
      </c>
      <c r="N161" s="4" t="n">
        <f aca="false">IF(H161=J161,1,0)</f>
        <v>1</v>
      </c>
      <c r="O161" s="7" t="n">
        <f aca="false">-LN(K161)</f>
        <v>0.987786733579225</v>
      </c>
      <c r="P161" s="7" t="n">
        <f aca="false">-LN(L161)</f>
        <v>0.697356025334</v>
      </c>
      <c r="Q161" s="7" t="n">
        <f aca="false">LN(E161)</f>
        <v>3.09104245335832</v>
      </c>
      <c r="R161" s="4" t="n">
        <v>1</v>
      </c>
      <c r="S161" s="4" t="n">
        <v>1</v>
      </c>
    </row>
    <row r="162" customFormat="false" ht="15" hidden="false" customHeight="false" outlineLevel="0" collapsed="false">
      <c r="A162" s="4" t="n">
        <v>2023</v>
      </c>
      <c r="B162" s="4" t="n">
        <v>17</v>
      </c>
      <c r="C162" s="4" t="s">
        <v>138</v>
      </c>
      <c r="D162" s="4" t="s">
        <v>93</v>
      </c>
      <c r="E162" s="4" t="n">
        <v>22</v>
      </c>
      <c r="F162" s="4" t="s">
        <v>100</v>
      </c>
      <c r="G162" s="8" t="n">
        <v>0.3584</v>
      </c>
      <c r="H162" s="4" t="s">
        <v>100</v>
      </c>
      <c r="I162" s="8" t="n">
        <v>0.4809</v>
      </c>
      <c r="J162" s="4" t="s">
        <v>100</v>
      </c>
      <c r="K162" s="8" t="n">
        <v>0.3584</v>
      </c>
      <c r="L162" s="8" t="n">
        <v>0.4809</v>
      </c>
      <c r="M162" s="4" t="n">
        <f aca="false">IF(F162=J162,1,0)</f>
        <v>1</v>
      </c>
      <c r="N162" s="4" t="n">
        <f aca="false">IF(H162=J162,1,0)</f>
        <v>1</v>
      </c>
      <c r="O162" s="7" t="n">
        <f aca="false">-LN(K162)</f>
        <v>1.02610559788136</v>
      </c>
      <c r="P162" s="7" t="n">
        <f aca="false">-LN(L162)</f>
        <v>0.73209593069852</v>
      </c>
      <c r="Q162" s="7" t="n">
        <f aca="false">LN(E162)</f>
        <v>3.09104245335832</v>
      </c>
      <c r="R162" s="4" t="n">
        <v>1</v>
      </c>
      <c r="S162" s="4" t="n">
        <v>1</v>
      </c>
    </row>
    <row r="163" customFormat="false" ht="15" hidden="false" customHeight="false" outlineLevel="0" collapsed="false">
      <c r="A163" s="4" t="n">
        <v>2023</v>
      </c>
      <c r="B163" s="4" t="n">
        <v>18</v>
      </c>
      <c r="C163" s="4" t="s">
        <v>114</v>
      </c>
      <c r="D163" s="4" t="s">
        <v>93</v>
      </c>
      <c r="E163" s="4" t="n">
        <v>22</v>
      </c>
      <c r="F163" s="4" t="s">
        <v>100</v>
      </c>
      <c r="G163" s="8" t="n">
        <v>0.3576</v>
      </c>
      <c r="H163" s="4" t="s">
        <v>100</v>
      </c>
      <c r="I163" s="8" t="n">
        <v>0.483</v>
      </c>
      <c r="J163" s="4" t="s">
        <v>100</v>
      </c>
      <c r="K163" s="8" t="n">
        <v>0.3576</v>
      </c>
      <c r="L163" s="8" t="n">
        <v>0.483</v>
      </c>
      <c r="M163" s="4" t="n">
        <f aca="false">IF(F163=J163,1,0)</f>
        <v>1</v>
      </c>
      <c r="N163" s="4" t="n">
        <f aca="false">IF(H163=J163,1,0)</f>
        <v>1</v>
      </c>
      <c r="O163" s="7" t="n">
        <f aca="false">-LN(K163)</f>
        <v>1.02834023568278</v>
      </c>
      <c r="P163" s="7" t="n">
        <f aca="false">-LN(L163)</f>
        <v>0.727738625329564</v>
      </c>
      <c r="Q163" s="7" t="n">
        <f aca="false">LN(E163)</f>
        <v>3.09104245335832</v>
      </c>
      <c r="R163" s="4" t="n">
        <v>1</v>
      </c>
      <c r="S163" s="4" t="n">
        <v>1</v>
      </c>
    </row>
    <row r="164" customFormat="false" ht="15" hidden="false" customHeight="false" outlineLevel="0" collapsed="false">
      <c r="A164" s="4" t="n">
        <v>2023</v>
      </c>
      <c r="B164" s="4" t="n">
        <v>19</v>
      </c>
      <c r="C164" s="4" t="s">
        <v>136</v>
      </c>
      <c r="D164" s="4" t="s">
        <v>93</v>
      </c>
      <c r="E164" s="4" t="n">
        <v>22</v>
      </c>
      <c r="F164" s="4" t="s">
        <v>100</v>
      </c>
      <c r="G164" s="8" t="n">
        <v>0.3619</v>
      </c>
      <c r="H164" s="4" t="s">
        <v>100</v>
      </c>
      <c r="I164" s="8" t="n">
        <v>0.4938</v>
      </c>
      <c r="J164" s="4" t="s">
        <v>100</v>
      </c>
      <c r="K164" s="8" t="n">
        <v>0.3619</v>
      </c>
      <c r="L164" s="8" t="n">
        <v>0.4938</v>
      </c>
      <c r="M164" s="4" t="n">
        <f aca="false">IF(F164=J164,1,0)</f>
        <v>1</v>
      </c>
      <c r="N164" s="4" t="n">
        <f aca="false">IF(H164=J164,1,0)</f>
        <v>1</v>
      </c>
      <c r="O164" s="7" t="n">
        <f aca="false">-LN(K164)</f>
        <v>1.01638734841244</v>
      </c>
      <c r="P164" s="7" t="n">
        <f aca="false">-LN(L164)</f>
        <v>0.705624702071058</v>
      </c>
      <c r="Q164" s="7" t="n">
        <f aca="false">LN(E164)</f>
        <v>3.09104245335832</v>
      </c>
      <c r="R164" s="4" t="n">
        <v>2</v>
      </c>
      <c r="S164" s="4" t="n">
        <v>2</v>
      </c>
    </row>
    <row r="165" customFormat="false" ht="15" hidden="false" customHeight="false" outlineLevel="0" collapsed="false">
      <c r="A165" s="4" t="n">
        <v>2023</v>
      </c>
      <c r="B165" s="4" t="n">
        <v>20</v>
      </c>
      <c r="C165" s="4" t="s">
        <v>137</v>
      </c>
      <c r="D165" s="4" t="s">
        <v>93</v>
      </c>
      <c r="E165" s="4" t="n">
        <v>22</v>
      </c>
      <c r="F165" s="4" t="s">
        <v>100</v>
      </c>
      <c r="G165" s="8" t="n">
        <v>0.3478</v>
      </c>
      <c r="H165" s="4" t="s">
        <v>100</v>
      </c>
      <c r="I165" s="8" t="n">
        <v>0.4735</v>
      </c>
      <c r="J165" s="4" t="s">
        <v>100</v>
      </c>
      <c r="K165" s="8" t="n">
        <v>0.3478</v>
      </c>
      <c r="L165" s="8" t="n">
        <v>0.4735</v>
      </c>
      <c r="M165" s="4" t="n">
        <f aca="false">IF(F165=J165,1,0)</f>
        <v>1</v>
      </c>
      <c r="N165" s="4" t="n">
        <f aca="false">IF(H165=J165,1,0)</f>
        <v>1</v>
      </c>
      <c r="O165" s="7" t="n">
        <f aca="false">-LN(K165)</f>
        <v>1.05612767706195</v>
      </c>
      <c r="P165" s="7" t="n">
        <f aca="false">-LN(L165)</f>
        <v>0.747603366356004</v>
      </c>
      <c r="Q165" s="7" t="n">
        <f aca="false">LN(E165)</f>
        <v>3.09104245335832</v>
      </c>
      <c r="R165" s="4" t="n">
        <v>1</v>
      </c>
      <c r="S165" s="4" t="n">
        <v>1</v>
      </c>
    </row>
    <row r="166" customFormat="false" ht="15" hidden="false" customHeight="false" outlineLevel="0" collapsed="false">
      <c r="A166" s="4" t="n">
        <v>2023</v>
      </c>
      <c r="B166" s="4" t="n">
        <v>21</v>
      </c>
      <c r="C166" s="4" t="s">
        <v>143</v>
      </c>
      <c r="D166" s="4" t="s">
        <v>93</v>
      </c>
      <c r="E166" s="4" t="n">
        <v>22</v>
      </c>
      <c r="F166" s="4" t="s">
        <v>100</v>
      </c>
      <c r="G166" s="8" t="n">
        <v>0.3533</v>
      </c>
      <c r="H166" s="4" t="s">
        <v>100</v>
      </c>
      <c r="I166" s="8" t="n">
        <v>0.4849</v>
      </c>
      <c r="J166" s="4" t="s">
        <v>100</v>
      </c>
      <c r="K166" s="8" t="n">
        <v>0.3533</v>
      </c>
      <c r="L166" s="8" t="n">
        <v>0.4849</v>
      </c>
      <c r="M166" s="4" t="n">
        <f aca="false">IF(F166=J166,1,0)</f>
        <v>1</v>
      </c>
      <c r="N166" s="4" t="n">
        <f aca="false">IF(H166=J166,1,0)</f>
        <v>1</v>
      </c>
      <c r="O166" s="7" t="n">
        <f aca="false">-LN(K166)</f>
        <v>1.04043772461704</v>
      </c>
      <c r="P166" s="7" t="n">
        <f aca="false">-LN(L166)</f>
        <v>0.723812594870831</v>
      </c>
      <c r="Q166" s="7" t="n">
        <f aca="false">LN(E166)</f>
        <v>3.09104245335832</v>
      </c>
      <c r="R166" s="4" t="n">
        <v>2</v>
      </c>
      <c r="S166" s="4" t="n">
        <v>2</v>
      </c>
    </row>
    <row r="167" customFormat="false" ht="15" hidden="false" customHeight="false" outlineLevel="0" collapsed="false">
      <c r="A167" s="4" t="n">
        <v>2023</v>
      </c>
      <c r="B167" s="4" t="n">
        <v>22</v>
      </c>
      <c r="C167" s="4" t="s">
        <v>117</v>
      </c>
      <c r="D167" s="4" t="s">
        <v>93</v>
      </c>
      <c r="E167" s="4" t="n">
        <v>22</v>
      </c>
      <c r="F167" s="4" t="s">
        <v>100</v>
      </c>
      <c r="G167" s="8" t="n">
        <v>0.358</v>
      </c>
      <c r="H167" s="4" t="s">
        <v>100</v>
      </c>
      <c r="I167" s="8" t="n">
        <v>0.4945</v>
      </c>
      <c r="J167" s="4" t="s">
        <v>100</v>
      </c>
      <c r="K167" s="8" t="n">
        <v>0.358</v>
      </c>
      <c r="L167" s="8" t="n">
        <v>0.4945</v>
      </c>
      <c r="M167" s="4" t="n">
        <f aca="false">IF(F167=J167,1,0)</f>
        <v>1</v>
      </c>
      <c r="N167" s="4" t="n">
        <f aca="false">IF(H167=J167,1,0)</f>
        <v>1</v>
      </c>
      <c r="O167" s="7" t="n">
        <f aca="false">-LN(K167)</f>
        <v>1.02722229258144</v>
      </c>
      <c r="P167" s="7" t="n">
        <f aca="false">-LN(L167)</f>
        <v>0.70420812791937</v>
      </c>
      <c r="Q167" s="7" t="n">
        <f aca="false">LN(E167)</f>
        <v>3.09104245335832</v>
      </c>
      <c r="R167" s="4" t="n">
        <v>1</v>
      </c>
      <c r="S167" s="4" t="n">
        <v>1</v>
      </c>
    </row>
    <row r="168" customFormat="false" ht="15" hidden="false" customHeight="false" outlineLevel="0" collapsed="false">
      <c r="A168" s="4" t="n">
        <v>2024</v>
      </c>
      <c r="B168" s="4" t="n">
        <v>1</v>
      </c>
      <c r="C168" s="4" t="s">
        <v>96</v>
      </c>
      <c r="D168" s="4" t="s">
        <v>144</v>
      </c>
      <c r="E168" s="4" t="n">
        <v>24</v>
      </c>
      <c r="F168" s="4" t="s">
        <v>100</v>
      </c>
      <c r="G168" s="8" t="n">
        <v>0.1489</v>
      </c>
      <c r="H168" s="4" t="s">
        <v>100</v>
      </c>
      <c r="I168" s="8" t="n">
        <v>0.1913</v>
      </c>
      <c r="J168" s="4" t="s">
        <v>100</v>
      </c>
      <c r="K168" s="8" t="n">
        <v>0.1489</v>
      </c>
      <c r="L168" s="8" t="n">
        <v>0.1913</v>
      </c>
      <c r="M168" s="4" t="n">
        <f aca="false">IF(F168=J168,1,0)</f>
        <v>1</v>
      </c>
      <c r="N168" s="4" t="n">
        <f aca="false">IF(H168=J168,1,0)</f>
        <v>1</v>
      </c>
      <c r="O168" s="7" t="n">
        <f aca="false">-LN(K168)</f>
        <v>1.90448033929217</v>
      </c>
      <c r="P168" s="7" t="n">
        <f aca="false">-LN(L168)</f>
        <v>1.65391240253593</v>
      </c>
      <c r="Q168" s="7" t="n">
        <f aca="false">LN(E168)</f>
        <v>3.17805383034795</v>
      </c>
      <c r="R168" s="4" t="n">
        <v>2</v>
      </c>
      <c r="S168" s="4" t="n">
        <v>2</v>
      </c>
    </row>
    <row r="169" customFormat="false" ht="15" hidden="false" customHeight="false" outlineLevel="0" collapsed="false">
      <c r="A169" s="4" t="n">
        <v>2024</v>
      </c>
      <c r="B169" s="4" t="n">
        <v>2</v>
      </c>
      <c r="C169" s="4" t="s">
        <v>139</v>
      </c>
      <c r="D169" s="4" t="s">
        <v>144</v>
      </c>
      <c r="E169" s="4" t="n">
        <v>24</v>
      </c>
      <c r="F169" s="4" t="s">
        <v>100</v>
      </c>
      <c r="G169" s="8" t="n">
        <v>0.2388</v>
      </c>
      <c r="H169" s="4" t="s">
        <v>100</v>
      </c>
      <c r="I169" s="8" t="n">
        <v>0.3283</v>
      </c>
      <c r="J169" s="4" t="s">
        <v>100</v>
      </c>
      <c r="K169" s="8" t="n">
        <v>0.2388</v>
      </c>
      <c r="L169" s="8" t="n">
        <v>0.3283</v>
      </c>
      <c r="M169" s="4" t="n">
        <f aca="false">IF(F169=J169,1,0)</f>
        <v>1</v>
      </c>
      <c r="N169" s="4" t="n">
        <f aca="false">IF(H169=J169,1,0)</f>
        <v>1</v>
      </c>
      <c r="O169" s="7" t="n">
        <f aca="false">-LN(K169)</f>
        <v>1.43212889746369</v>
      </c>
      <c r="P169" s="7" t="n">
        <f aca="false">-LN(L169)</f>
        <v>1.11382745447459</v>
      </c>
      <c r="Q169" s="7" t="n">
        <f aca="false">LN(E169)</f>
        <v>3.17805383034795</v>
      </c>
      <c r="R169" s="4" t="n">
        <v>3</v>
      </c>
      <c r="S169" s="4" t="n">
        <v>3</v>
      </c>
    </row>
    <row r="170" customFormat="false" ht="15" hidden="false" customHeight="false" outlineLevel="0" collapsed="false">
      <c r="A170" s="4" t="n">
        <v>2024</v>
      </c>
      <c r="B170" s="4" t="n">
        <v>3</v>
      </c>
      <c r="C170" s="4" t="s">
        <v>92</v>
      </c>
      <c r="D170" s="4" t="s">
        <v>144</v>
      </c>
      <c r="E170" s="4" t="n">
        <v>24</v>
      </c>
      <c r="F170" s="4" t="s">
        <v>100</v>
      </c>
      <c r="G170" s="8" t="n">
        <v>0.2943</v>
      </c>
      <c r="H170" s="4" t="s">
        <v>100</v>
      </c>
      <c r="I170" s="8" t="n">
        <v>0.3959</v>
      </c>
      <c r="J170" s="4" t="s">
        <v>141</v>
      </c>
      <c r="K170" s="8" t="n">
        <v>0.0636</v>
      </c>
      <c r="L170" s="8" t="n">
        <v>0.0553</v>
      </c>
      <c r="M170" s="4" t="n">
        <f aca="false">IF(F170=J170,1,0)</f>
        <v>0</v>
      </c>
      <c r="N170" s="4" t="n">
        <f aca="false">IF(H170=J170,1,0)</f>
        <v>0</v>
      </c>
      <c r="O170" s="7" t="n">
        <f aca="false">-LN(K170)</f>
        <v>2.75514180863606</v>
      </c>
      <c r="P170" s="7" t="n">
        <f aca="false">-LN(L170)</f>
        <v>2.89498237045385</v>
      </c>
      <c r="Q170" s="7" t="n">
        <f aca="false">LN(E170)</f>
        <v>3.17805383034795</v>
      </c>
      <c r="R170" s="4" t="n">
        <v>1</v>
      </c>
      <c r="S170" s="4" t="n">
        <v>1</v>
      </c>
    </row>
    <row r="171" customFormat="false" ht="15" hidden="false" customHeight="false" outlineLevel="0" collapsed="false">
      <c r="A171" s="4" t="n">
        <v>2024</v>
      </c>
      <c r="B171" s="4" t="n">
        <v>4</v>
      </c>
      <c r="C171" s="4" t="s">
        <v>113</v>
      </c>
      <c r="D171" s="4" t="s">
        <v>144</v>
      </c>
      <c r="E171" s="4" t="n">
        <v>24</v>
      </c>
      <c r="F171" s="4" t="s">
        <v>100</v>
      </c>
      <c r="G171" s="8" t="n">
        <v>0.2388</v>
      </c>
      <c r="H171" s="4" t="s">
        <v>100</v>
      </c>
      <c r="I171" s="8" t="n">
        <v>0.3034</v>
      </c>
      <c r="J171" s="4" t="s">
        <v>100</v>
      </c>
      <c r="K171" s="8" t="n">
        <v>0.2388</v>
      </c>
      <c r="L171" s="8" t="n">
        <v>0.3034</v>
      </c>
      <c r="M171" s="4" t="n">
        <f aca="false">IF(F171=J171,1,0)</f>
        <v>1</v>
      </c>
      <c r="N171" s="4" t="n">
        <f aca="false">IF(H171=J171,1,0)</f>
        <v>1</v>
      </c>
      <c r="O171" s="7" t="n">
        <f aca="false">-LN(K171)</f>
        <v>1.43212889746369</v>
      </c>
      <c r="P171" s="7" t="n">
        <f aca="false">-LN(L171)</f>
        <v>1.19270321206771</v>
      </c>
      <c r="Q171" s="7" t="n">
        <f aca="false">LN(E171)</f>
        <v>3.17805383034795</v>
      </c>
      <c r="R171" s="4" t="n">
        <v>2</v>
      </c>
      <c r="S171" s="4" t="n">
        <v>2</v>
      </c>
    </row>
    <row r="172" customFormat="false" ht="15" hidden="false" customHeight="false" outlineLevel="0" collapsed="false">
      <c r="A172" s="4" t="n">
        <v>2024</v>
      </c>
      <c r="B172" s="4" t="n">
        <v>5</v>
      </c>
      <c r="C172" s="4" t="s">
        <v>97</v>
      </c>
      <c r="D172" s="4" t="s">
        <v>144</v>
      </c>
      <c r="E172" s="4" t="n">
        <v>24</v>
      </c>
      <c r="F172" s="4" t="s">
        <v>100</v>
      </c>
      <c r="G172" s="8" t="n">
        <v>0.2444</v>
      </c>
      <c r="H172" s="4" t="s">
        <v>100</v>
      </c>
      <c r="I172" s="8" t="n">
        <v>0.3173</v>
      </c>
      <c r="J172" s="4" t="s">
        <v>100</v>
      </c>
      <c r="K172" s="8" t="n">
        <v>0.2444</v>
      </c>
      <c r="L172" s="8" t="n">
        <v>0.3173</v>
      </c>
      <c r="M172" s="4" t="n">
        <f aca="false">IF(F172=J172,1,0)</f>
        <v>1</v>
      </c>
      <c r="N172" s="4" t="n">
        <f aca="false">IF(H172=J172,1,0)</f>
        <v>1</v>
      </c>
      <c r="O172" s="7" t="n">
        <f aca="false">-LN(K172)</f>
        <v>1.4089490516847</v>
      </c>
      <c r="P172" s="7" t="n">
        <f aca="false">-LN(L172)</f>
        <v>1.14790758039299</v>
      </c>
      <c r="Q172" s="7" t="n">
        <f aca="false">LN(E172)</f>
        <v>3.17805383034795</v>
      </c>
      <c r="R172" s="4" t="n">
        <v>2</v>
      </c>
      <c r="S172" s="4" t="n">
        <v>2</v>
      </c>
    </row>
    <row r="173" customFormat="false" ht="15" hidden="false" customHeight="false" outlineLevel="0" collapsed="false">
      <c r="A173" s="4" t="n">
        <v>2024</v>
      </c>
      <c r="B173" s="4" t="n">
        <v>6</v>
      </c>
      <c r="C173" s="4" t="s">
        <v>140</v>
      </c>
      <c r="D173" s="4" t="s">
        <v>144</v>
      </c>
      <c r="E173" s="4" t="n">
        <v>24</v>
      </c>
      <c r="F173" s="4" t="s">
        <v>100</v>
      </c>
      <c r="G173" s="8" t="n">
        <v>0.2591</v>
      </c>
      <c r="H173" s="4" t="s">
        <v>100</v>
      </c>
      <c r="I173" s="8" t="n">
        <v>0.3418</v>
      </c>
      <c r="J173" s="4" t="s">
        <v>145</v>
      </c>
      <c r="K173" s="8" t="n">
        <v>0.0538</v>
      </c>
      <c r="L173" s="8" t="n">
        <v>0.0486</v>
      </c>
      <c r="M173" s="4" t="n">
        <f aca="false">IF(F173=J173,1,0)</f>
        <v>0</v>
      </c>
      <c r="N173" s="4" t="n">
        <f aca="false">IF(H173=J173,1,0)</f>
        <v>0</v>
      </c>
      <c r="O173" s="7" t="n">
        <f aca="false">-LN(K173)</f>
        <v>2.9224818118144</v>
      </c>
      <c r="P173" s="7" t="n">
        <f aca="false">-LN(L173)</f>
        <v>3.02413174807569</v>
      </c>
      <c r="Q173" s="7" t="n">
        <f aca="false">LN(E173)</f>
        <v>3.17805383034795</v>
      </c>
      <c r="R173" s="4" t="n">
        <v>2</v>
      </c>
      <c r="S173" s="4" t="n">
        <v>2</v>
      </c>
    </row>
    <row r="174" customFormat="false" ht="15" hidden="false" customHeight="false" outlineLevel="0" collapsed="false">
      <c r="A174" s="4" t="n">
        <v>2024</v>
      </c>
      <c r="B174" s="4" t="n">
        <v>7</v>
      </c>
      <c r="C174" s="4" t="s">
        <v>130</v>
      </c>
      <c r="D174" s="4" t="s">
        <v>144</v>
      </c>
      <c r="E174" s="4" t="n">
        <v>24</v>
      </c>
      <c r="F174" s="4" t="s">
        <v>100</v>
      </c>
      <c r="G174" s="8" t="n">
        <v>0.2627</v>
      </c>
      <c r="H174" s="4" t="s">
        <v>100</v>
      </c>
      <c r="I174" s="8" t="n">
        <v>0.3461</v>
      </c>
      <c r="J174" s="4" t="s">
        <v>100</v>
      </c>
      <c r="K174" s="8" t="n">
        <v>0.2627</v>
      </c>
      <c r="L174" s="8" t="n">
        <v>0.3461</v>
      </c>
      <c r="M174" s="4" t="n">
        <f aca="false">IF(F174=J174,1,0)</f>
        <v>1</v>
      </c>
      <c r="N174" s="4" t="n">
        <f aca="false">IF(H174=J174,1,0)</f>
        <v>1</v>
      </c>
      <c r="O174" s="7" t="n">
        <f aca="false">-LN(K174)</f>
        <v>1.33674258229064</v>
      </c>
      <c r="P174" s="7" t="n">
        <f aca="false">-LN(L174)</f>
        <v>1.06102752834084</v>
      </c>
      <c r="Q174" s="7" t="n">
        <f aca="false">LN(E174)</f>
        <v>3.17805383034795</v>
      </c>
      <c r="R174" s="4" t="n">
        <v>2</v>
      </c>
      <c r="S174" s="4" t="n">
        <v>2</v>
      </c>
    </row>
    <row r="175" customFormat="false" ht="15" hidden="false" customHeight="false" outlineLevel="0" collapsed="false">
      <c r="A175" s="4" t="n">
        <v>2024</v>
      </c>
      <c r="B175" s="4" t="n">
        <v>8</v>
      </c>
      <c r="C175" s="4" t="s">
        <v>101</v>
      </c>
      <c r="D175" s="4" t="s">
        <v>144</v>
      </c>
      <c r="E175" s="4" t="n">
        <v>24</v>
      </c>
      <c r="F175" s="4" t="s">
        <v>100</v>
      </c>
      <c r="G175" s="8" t="n">
        <v>0.273</v>
      </c>
      <c r="H175" s="4" t="s">
        <v>100</v>
      </c>
      <c r="I175" s="8" t="n">
        <v>0.364</v>
      </c>
      <c r="J175" s="4" t="s">
        <v>123</v>
      </c>
      <c r="K175" s="8" t="n">
        <v>0.1121</v>
      </c>
      <c r="L175" s="8" t="n">
        <v>0.1159</v>
      </c>
      <c r="M175" s="4" t="n">
        <f aca="false">IF(F175=J175,1,0)</f>
        <v>0</v>
      </c>
      <c r="N175" s="4" t="n">
        <f aca="false">IF(H175=J175,1,0)</f>
        <v>0</v>
      </c>
      <c r="O175" s="7" t="n">
        <f aca="false">-LN(K175)</f>
        <v>2.18836394890402</v>
      </c>
      <c r="P175" s="7" t="n">
        <f aca="false">-LN(L175)</f>
        <v>2.15502752863643</v>
      </c>
      <c r="Q175" s="7" t="n">
        <f aca="false">LN(E175)</f>
        <v>3.17805383034795</v>
      </c>
      <c r="R175" s="4" t="n">
        <v>1</v>
      </c>
      <c r="S175" s="4" t="n">
        <v>1</v>
      </c>
    </row>
    <row r="176" customFormat="false" ht="15" hidden="false" customHeight="false" outlineLevel="0" collapsed="false">
      <c r="A176" s="4" t="n">
        <v>2024</v>
      </c>
      <c r="B176" s="4" t="n">
        <v>9</v>
      </c>
      <c r="C176" s="4" t="s">
        <v>102</v>
      </c>
      <c r="D176" s="4" t="s">
        <v>144</v>
      </c>
      <c r="E176" s="4" t="n">
        <v>24</v>
      </c>
      <c r="F176" s="4" t="s">
        <v>100</v>
      </c>
      <c r="G176" s="8" t="n">
        <v>0.2486</v>
      </c>
      <c r="H176" s="4" t="s">
        <v>100</v>
      </c>
      <c r="I176" s="8" t="n">
        <v>0.3225</v>
      </c>
      <c r="J176" s="4" t="s">
        <v>100</v>
      </c>
      <c r="K176" s="8" t="n">
        <v>0.2486</v>
      </c>
      <c r="L176" s="8" t="n">
        <v>0.3225</v>
      </c>
      <c r="M176" s="4" t="n">
        <f aca="false">IF(F176=J176,1,0)</f>
        <v>1</v>
      </c>
      <c r="N176" s="4" t="n">
        <f aca="false">IF(H176=J176,1,0)</f>
        <v>1</v>
      </c>
      <c r="O176" s="7" t="n">
        <f aca="false">-LN(K176)</f>
        <v>1.39191009990553</v>
      </c>
      <c r="P176" s="7" t="n">
        <f aca="false">-LN(L176)</f>
        <v>1.13165214274631</v>
      </c>
      <c r="Q176" s="7" t="n">
        <f aca="false">LN(E176)</f>
        <v>3.17805383034795</v>
      </c>
      <c r="R176" s="4" t="n">
        <v>1</v>
      </c>
      <c r="S176" s="4" t="n">
        <v>1</v>
      </c>
    </row>
    <row r="177" customFormat="false" ht="15" hidden="false" customHeight="false" outlineLevel="0" collapsed="false">
      <c r="A177" s="4" t="n">
        <v>2024</v>
      </c>
      <c r="B177" s="4" t="n">
        <v>10</v>
      </c>
      <c r="C177" s="4" t="s">
        <v>99</v>
      </c>
      <c r="D177" s="4" t="s">
        <v>144</v>
      </c>
      <c r="E177" s="4" t="n">
        <v>24</v>
      </c>
      <c r="F177" s="4" t="s">
        <v>100</v>
      </c>
      <c r="G177" s="8" t="n">
        <v>0.2585</v>
      </c>
      <c r="H177" s="4" t="s">
        <v>100</v>
      </c>
      <c r="I177" s="8" t="n">
        <v>0.3502</v>
      </c>
      <c r="J177" s="4" t="s">
        <v>100</v>
      </c>
      <c r="K177" s="8" t="n">
        <v>0.2585</v>
      </c>
      <c r="L177" s="8" t="n">
        <v>0.3502</v>
      </c>
      <c r="M177" s="4" t="n">
        <f aca="false">IF(F177=J177,1,0)</f>
        <v>1</v>
      </c>
      <c r="N177" s="4" t="n">
        <f aca="false">IF(H177=J177,1,0)</f>
        <v>1</v>
      </c>
      <c r="O177" s="7" t="n">
        <f aca="false">-LN(K177)</f>
        <v>1.35285958503365</v>
      </c>
      <c r="P177" s="7" t="n">
        <f aca="false">-LN(L177)</f>
        <v>1.04925085913039</v>
      </c>
      <c r="Q177" s="7" t="n">
        <f aca="false">LN(E177)</f>
        <v>3.17805383034795</v>
      </c>
      <c r="R177" s="4" t="n">
        <v>1</v>
      </c>
      <c r="S177" s="4" t="n">
        <v>2</v>
      </c>
    </row>
    <row r="178" customFormat="false" ht="15" hidden="false" customHeight="false" outlineLevel="0" collapsed="false">
      <c r="A178" s="4" t="n">
        <v>2024</v>
      </c>
      <c r="B178" s="4" t="n">
        <v>11</v>
      </c>
      <c r="C178" s="4" t="s">
        <v>104</v>
      </c>
      <c r="D178" s="4" t="s">
        <v>144</v>
      </c>
      <c r="E178" s="4" t="n">
        <v>24</v>
      </c>
      <c r="F178" s="4" t="s">
        <v>100</v>
      </c>
      <c r="G178" s="8" t="n">
        <v>0.263</v>
      </c>
      <c r="H178" s="4" t="s">
        <v>100</v>
      </c>
      <c r="I178" s="8" t="n">
        <v>0.3607</v>
      </c>
      <c r="J178" s="4" t="s">
        <v>142</v>
      </c>
      <c r="K178" s="8" t="n">
        <v>0.0418</v>
      </c>
      <c r="L178" s="8" t="n">
        <v>0.0371</v>
      </c>
      <c r="M178" s="4" t="n">
        <f aca="false">IF(F178=J178,1,0)</f>
        <v>0</v>
      </c>
      <c r="N178" s="4" t="n">
        <f aca="false">IF(H178=J178,1,0)</f>
        <v>0</v>
      </c>
      <c r="O178" s="7" t="n">
        <f aca="false">-LN(K178)</f>
        <v>3.17485893945143</v>
      </c>
      <c r="P178" s="7" t="n">
        <f aca="false">-LN(L178)</f>
        <v>3.29413830936875</v>
      </c>
      <c r="Q178" s="7" t="n">
        <f aca="false">LN(E178)</f>
        <v>3.17805383034795</v>
      </c>
      <c r="R178" s="4" t="n">
        <v>0</v>
      </c>
      <c r="S178" s="4" t="n">
        <v>0</v>
      </c>
    </row>
    <row r="179" customFormat="false" ht="15" hidden="false" customHeight="false" outlineLevel="0" collapsed="false">
      <c r="A179" s="4" t="n">
        <v>2024</v>
      </c>
      <c r="B179" s="4" t="n">
        <v>12</v>
      </c>
      <c r="C179" s="4" t="s">
        <v>105</v>
      </c>
      <c r="D179" s="4" t="s">
        <v>144</v>
      </c>
      <c r="E179" s="4" t="n">
        <v>24</v>
      </c>
      <c r="F179" s="4" t="s">
        <v>100</v>
      </c>
      <c r="G179" s="8" t="n">
        <v>0.2542</v>
      </c>
      <c r="H179" s="4" t="s">
        <v>100</v>
      </c>
      <c r="I179" s="8" t="n">
        <v>0.3472</v>
      </c>
      <c r="J179" s="4" t="s">
        <v>94</v>
      </c>
      <c r="K179" s="8" t="n">
        <v>0.0498</v>
      </c>
      <c r="L179" s="8" t="n">
        <v>0.0479</v>
      </c>
      <c r="M179" s="4" t="n">
        <f aca="false">IF(F179=J179,1,0)</f>
        <v>0</v>
      </c>
      <c r="N179" s="4" t="n">
        <f aca="false">IF(H179=J179,1,0)</f>
        <v>0</v>
      </c>
      <c r="O179" s="7" t="n">
        <f aca="false">-LN(K179)</f>
        <v>2.99974029495153</v>
      </c>
      <c r="P179" s="7" t="n">
        <f aca="false">-LN(L179)</f>
        <v>3.03863977456527</v>
      </c>
      <c r="Q179" s="7" t="n">
        <f aca="false">LN(E179)</f>
        <v>3.17805383034795</v>
      </c>
      <c r="R179" s="4" t="n">
        <v>1</v>
      </c>
      <c r="S179" s="4" t="n">
        <v>2</v>
      </c>
    </row>
    <row r="180" customFormat="false" ht="15" hidden="false" customHeight="false" outlineLevel="0" collapsed="false">
      <c r="A180" s="4" t="n">
        <v>2024</v>
      </c>
      <c r="B180" s="4" t="n">
        <v>13</v>
      </c>
      <c r="C180" s="4" t="s">
        <v>106</v>
      </c>
      <c r="D180" s="4" t="s">
        <v>144</v>
      </c>
      <c r="E180" s="4" t="n">
        <v>24</v>
      </c>
      <c r="F180" s="4" t="s">
        <v>100</v>
      </c>
      <c r="G180" s="8" t="n">
        <v>0.2428</v>
      </c>
      <c r="H180" s="4" t="s">
        <v>100</v>
      </c>
      <c r="I180" s="8" t="n">
        <v>0.3318</v>
      </c>
      <c r="J180" s="4" t="s">
        <v>146</v>
      </c>
      <c r="K180" s="8" t="n">
        <v>0.0598</v>
      </c>
      <c r="L180" s="8" t="n">
        <v>0.0537</v>
      </c>
      <c r="M180" s="4" t="n">
        <f aca="false">IF(F180=J180,1,0)</f>
        <v>0</v>
      </c>
      <c r="N180" s="4" t="n">
        <f aca="false">IF(H180=J180,1,0)</f>
        <v>0</v>
      </c>
      <c r="O180" s="7" t="n">
        <f aca="false">-LN(K180)</f>
        <v>2.81674961802555</v>
      </c>
      <c r="P180" s="7" t="n">
        <f aca="false">-LN(L180)</f>
        <v>2.92434227746732</v>
      </c>
      <c r="Q180" s="7" t="n">
        <f aca="false">LN(E180)</f>
        <v>3.17805383034795</v>
      </c>
      <c r="R180" s="4" t="n">
        <v>1</v>
      </c>
      <c r="S180" s="4" t="n">
        <v>1</v>
      </c>
    </row>
    <row r="181" customFormat="false" ht="15" hidden="false" customHeight="false" outlineLevel="0" collapsed="false">
      <c r="A181" s="4" t="n">
        <v>2024</v>
      </c>
      <c r="B181" s="4" t="n">
        <v>14</v>
      </c>
      <c r="C181" s="4" t="s">
        <v>108</v>
      </c>
      <c r="D181" s="4" t="s">
        <v>144</v>
      </c>
      <c r="E181" s="4" t="n">
        <v>24</v>
      </c>
      <c r="F181" s="4" t="s">
        <v>100</v>
      </c>
      <c r="G181" s="8" t="n">
        <v>0.2303</v>
      </c>
      <c r="H181" s="4" t="s">
        <v>100</v>
      </c>
      <c r="I181" s="8" t="n">
        <v>0.31</v>
      </c>
      <c r="J181" s="4" t="s">
        <v>94</v>
      </c>
      <c r="K181" s="8" t="n">
        <v>0.065</v>
      </c>
      <c r="L181" s="8" t="n">
        <v>0.0664</v>
      </c>
      <c r="M181" s="4" t="n">
        <f aca="false">IF(F181=J181,1,0)</f>
        <v>0</v>
      </c>
      <c r="N181" s="4" t="n">
        <f aca="false">IF(H181=J181,1,0)</f>
        <v>0</v>
      </c>
      <c r="O181" s="7" t="n">
        <f aca="false">-LN(K181)</f>
        <v>2.7333680090865</v>
      </c>
      <c r="P181" s="7" t="n">
        <f aca="false">-LN(L181)</f>
        <v>2.71205822249975</v>
      </c>
      <c r="Q181" s="7" t="n">
        <f aca="false">LN(E181)</f>
        <v>3.17805383034795</v>
      </c>
      <c r="R181" s="4" t="n">
        <v>1</v>
      </c>
      <c r="S181" s="4" t="n">
        <v>1</v>
      </c>
    </row>
    <row r="182" customFormat="false" ht="15" hidden="false" customHeight="false" outlineLevel="0" collapsed="false">
      <c r="A182" s="4" t="n">
        <v>2024</v>
      </c>
      <c r="B182" s="4" t="n">
        <v>15</v>
      </c>
      <c r="C182" s="4" t="s">
        <v>135</v>
      </c>
      <c r="D182" s="4" t="s">
        <v>144</v>
      </c>
      <c r="E182" s="4" t="n">
        <v>24</v>
      </c>
      <c r="F182" s="4" t="s">
        <v>100</v>
      </c>
      <c r="G182" s="8" t="n">
        <v>0.2214</v>
      </c>
      <c r="H182" s="4" t="s">
        <v>100</v>
      </c>
      <c r="I182" s="8" t="n">
        <v>0.2969</v>
      </c>
      <c r="J182" s="4" t="s">
        <v>145</v>
      </c>
      <c r="K182" s="8" t="n">
        <v>0.1053</v>
      </c>
      <c r="L182" s="8" t="n">
        <v>0.1175</v>
      </c>
      <c r="M182" s="4" t="n">
        <f aca="false">IF(F182=J182,1,0)</f>
        <v>0</v>
      </c>
      <c r="N182" s="4" t="n">
        <f aca="false">IF(H182=J182,1,0)</f>
        <v>0</v>
      </c>
      <c r="O182" s="7" t="n">
        <f aca="false">-LN(K182)</f>
        <v>2.25094185984221</v>
      </c>
      <c r="P182" s="7" t="n">
        <f aca="false">-LN(L182)</f>
        <v>2.14131694539792</v>
      </c>
      <c r="Q182" s="7" t="n">
        <f aca="false">LN(E182)</f>
        <v>3.17805383034795</v>
      </c>
      <c r="R182" s="4" t="n">
        <v>3</v>
      </c>
      <c r="S182" s="4" t="n">
        <v>3</v>
      </c>
    </row>
    <row r="183" customFormat="false" ht="15" hidden="false" customHeight="false" outlineLevel="0" collapsed="false">
      <c r="A183" s="4" t="n">
        <v>2024</v>
      </c>
      <c r="B183" s="4" t="n">
        <v>16</v>
      </c>
      <c r="C183" s="4" t="s">
        <v>109</v>
      </c>
      <c r="D183" s="4" t="s">
        <v>144</v>
      </c>
      <c r="E183" s="4" t="n">
        <v>24</v>
      </c>
      <c r="F183" s="4" t="s">
        <v>100</v>
      </c>
      <c r="G183" s="8" t="n">
        <v>0.2168</v>
      </c>
      <c r="H183" s="4" t="s">
        <v>100</v>
      </c>
      <c r="I183" s="8" t="n">
        <v>0.2913</v>
      </c>
      <c r="J183" s="4" t="s">
        <v>123</v>
      </c>
      <c r="K183" s="8" t="n">
        <v>0.0928</v>
      </c>
      <c r="L183" s="8" t="n">
        <v>0.0956</v>
      </c>
      <c r="M183" s="4" t="n">
        <f aca="false">IF(F183=J183,1,0)</f>
        <v>0</v>
      </c>
      <c r="N183" s="4" t="n">
        <f aca="false">IF(H183=J183,1,0)</f>
        <v>0</v>
      </c>
      <c r="O183" s="7" t="n">
        <f aca="false">-LN(K183)</f>
        <v>2.37730863918998</v>
      </c>
      <c r="P183" s="7" t="n">
        <f aca="false">-LN(L183)</f>
        <v>2.34758245892478</v>
      </c>
      <c r="Q183" s="7" t="n">
        <f aca="false">LN(E183)</f>
        <v>3.17805383034795</v>
      </c>
      <c r="R183" s="4" t="n">
        <v>2</v>
      </c>
      <c r="S183" s="4" t="n">
        <v>2</v>
      </c>
    </row>
    <row r="184" customFormat="false" ht="15" hidden="false" customHeight="false" outlineLevel="0" collapsed="false">
      <c r="A184" s="4" t="n">
        <v>2024</v>
      </c>
      <c r="B184" s="4" t="n">
        <v>17</v>
      </c>
      <c r="C184" s="4" t="s">
        <v>120</v>
      </c>
      <c r="D184" s="4" t="s">
        <v>144</v>
      </c>
      <c r="E184" s="4" t="n">
        <v>24</v>
      </c>
      <c r="F184" s="4" t="s">
        <v>100</v>
      </c>
      <c r="G184" s="8" t="n">
        <v>0.204</v>
      </c>
      <c r="H184" s="4" t="s">
        <v>100</v>
      </c>
      <c r="I184" s="8" t="n">
        <v>0.2671</v>
      </c>
      <c r="J184" s="4" t="s">
        <v>146</v>
      </c>
      <c r="K184" s="8" t="n">
        <v>0.0787</v>
      </c>
      <c r="L184" s="8" t="n">
        <v>0.0772</v>
      </c>
      <c r="M184" s="4" t="n">
        <f aca="false">IF(F184=J184,1,0)</f>
        <v>0</v>
      </c>
      <c r="N184" s="4" t="n">
        <f aca="false">IF(H184=J184,1,0)</f>
        <v>0</v>
      </c>
      <c r="O184" s="7" t="n">
        <f aca="false">-LN(K184)</f>
        <v>2.54211212355878</v>
      </c>
      <c r="P184" s="7" t="n">
        <f aca="false">-LN(L184)</f>
        <v>2.56135582195141</v>
      </c>
      <c r="Q184" s="7" t="n">
        <f aca="false">LN(E184)</f>
        <v>3.17805383034795</v>
      </c>
      <c r="R184" s="4" t="n">
        <v>1</v>
      </c>
      <c r="S184" s="4" t="n">
        <v>1</v>
      </c>
    </row>
    <row r="185" customFormat="false" ht="15" hidden="false" customHeight="false" outlineLevel="0" collapsed="false">
      <c r="A185" s="4" t="n">
        <v>2024</v>
      </c>
      <c r="B185" s="4" t="n">
        <v>18</v>
      </c>
      <c r="C185" s="4" t="s">
        <v>110</v>
      </c>
      <c r="D185" s="4" t="s">
        <v>144</v>
      </c>
      <c r="E185" s="4" t="n">
        <v>24</v>
      </c>
      <c r="F185" s="4" t="s">
        <v>100</v>
      </c>
      <c r="G185" s="8" t="n">
        <v>0.1912</v>
      </c>
      <c r="H185" s="4" t="s">
        <v>100</v>
      </c>
      <c r="I185" s="8" t="n">
        <v>0.2474</v>
      </c>
      <c r="J185" s="4" t="s">
        <v>145</v>
      </c>
      <c r="K185" s="8" t="n">
        <v>0.1249</v>
      </c>
      <c r="L185" s="8" t="n">
        <v>0.1471</v>
      </c>
      <c r="M185" s="4" t="n">
        <f aca="false">IF(F185=J185,1,0)</f>
        <v>0</v>
      </c>
      <c r="N185" s="4" t="n">
        <f aca="false">IF(H185=J185,1,0)</f>
        <v>0</v>
      </c>
      <c r="O185" s="7" t="n">
        <f aca="false">-LN(K185)</f>
        <v>2.08024186185061</v>
      </c>
      <c r="P185" s="7" t="n">
        <f aca="false">-LN(L185)</f>
        <v>1.91664265137475</v>
      </c>
      <c r="Q185" s="7" t="n">
        <f aca="false">LN(E185)</f>
        <v>3.17805383034795</v>
      </c>
      <c r="R185" s="4" t="n">
        <v>2</v>
      </c>
      <c r="S185" s="4" t="n">
        <v>2</v>
      </c>
    </row>
    <row r="186" customFormat="false" ht="15" hidden="false" customHeight="false" outlineLevel="0" collapsed="false">
      <c r="A186" s="4" t="n">
        <v>2024</v>
      </c>
      <c r="B186" s="4" t="n">
        <v>19</v>
      </c>
      <c r="C186" s="4" t="s">
        <v>114</v>
      </c>
      <c r="D186" s="4" t="s">
        <v>144</v>
      </c>
      <c r="E186" s="4" t="n">
        <v>24</v>
      </c>
      <c r="F186" s="4" t="s">
        <v>100</v>
      </c>
      <c r="G186" s="8" t="n">
        <v>0.1862</v>
      </c>
      <c r="H186" s="4" t="s">
        <v>100</v>
      </c>
      <c r="I186" s="8" t="n">
        <v>0.2407</v>
      </c>
      <c r="J186" s="4" t="s">
        <v>123</v>
      </c>
      <c r="K186" s="8" t="n">
        <v>0.1078</v>
      </c>
      <c r="L186" s="8" t="n">
        <v>0.1181</v>
      </c>
      <c r="M186" s="4" t="n">
        <f aca="false">IF(F186=J186,1,0)</f>
        <v>0</v>
      </c>
      <c r="N186" s="4" t="n">
        <f aca="false">IF(H186=J186,1,0)</f>
        <v>0</v>
      </c>
      <c r="O186" s="7" t="n">
        <f aca="false">-LN(K186)</f>
        <v>2.22747762050724</v>
      </c>
      <c r="P186" s="7" t="n">
        <f aca="false">-LN(L186)</f>
        <v>2.13622355577882</v>
      </c>
      <c r="Q186" s="7" t="n">
        <f aca="false">LN(E186)</f>
        <v>3.17805383034795</v>
      </c>
      <c r="R186" s="4" t="n">
        <v>2</v>
      </c>
      <c r="S186" s="4" t="n">
        <v>2</v>
      </c>
    </row>
    <row r="187" customFormat="false" ht="15" hidden="false" customHeight="false" outlineLevel="0" collapsed="false">
      <c r="A187" s="4" t="n">
        <v>2024</v>
      </c>
      <c r="B187" s="4" t="n">
        <v>20</v>
      </c>
      <c r="C187" s="4" t="s">
        <v>136</v>
      </c>
      <c r="D187" s="4" t="s">
        <v>144</v>
      </c>
      <c r="E187" s="4" t="n">
        <v>24</v>
      </c>
      <c r="F187" s="4" t="s">
        <v>100</v>
      </c>
      <c r="G187" s="8" t="n">
        <v>0.1838</v>
      </c>
      <c r="H187" s="4" t="s">
        <v>100</v>
      </c>
      <c r="I187" s="8" t="n">
        <v>0.2384</v>
      </c>
      <c r="J187" s="4" t="s">
        <v>141</v>
      </c>
      <c r="K187" s="8" t="n">
        <v>0.0728</v>
      </c>
      <c r="L187" s="8" t="n">
        <v>0.0703</v>
      </c>
      <c r="M187" s="4" t="n">
        <f aca="false">IF(F187=J187,1,0)</f>
        <v>0</v>
      </c>
      <c r="N187" s="4" t="n">
        <f aca="false">IF(H187=J187,1,0)</f>
        <v>0</v>
      </c>
      <c r="O187" s="7" t="n">
        <f aca="false">-LN(K187)</f>
        <v>2.6200393237795</v>
      </c>
      <c r="P187" s="7" t="n">
        <f aca="false">-LN(L187)</f>
        <v>2.65498348016552</v>
      </c>
      <c r="Q187" s="7" t="n">
        <f aca="false">LN(E187)</f>
        <v>3.17805383034795</v>
      </c>
      <c r="R187" s="4" t="n">
        <v>2</v>
      </c>
      <c r="S187" s="4" t="n">
        <v>2</v>
      </c>
    </row>
    <row r="188" customFormat="false" ht="15" hidden="false" customHeight="false" outlineLevel="0" collapsed="false">
      <c r="A188" s="4" t="n">
        <v>2024</v>
      </c>
      <c r="B188" s="4" t="n">
        <v>21</v>
      </c>
      <c r="C188" s="4" t="s">
        <v>137</v>
      </c>
      <c r="D188" s="4" t="s">
        <v>144</v>
      </c>
      <c r="E188" s="4" t="n">
        <v>24</v>
      </c>
      <c r="F188" s="4" t="s">
        <v>100</v>
      </c>
      <c r="G188" s="8" t="n">
        <v>0.1706</v>
      </c>
      <c r="H188" s="4" t="s">
        <v>100</v>
      </c>
      <c r="I188" s="8" t="n">
        <v>0.2154</v>
      </c>
      <c r="J188" s="4" t="s">
        <v>100</v>
      </c>
      <c r="K188" s="8" t="n">
        <v>0.1706</v>
      </c>
      <c r="L188" s="8" t="n">
        <v>0.2154</v>
      </c>
      <c r="M188" s="4" t="n">
        <f aca="false">IF(F188=J188,1,0)</f>
        <v>1</v>
      </c>
      <c r="N188" s="4" t="n">
        <f aca="false">IF(H188=J188,1,0)</f>
        <v>1</v>
      </c>
      <c r="O188" s="7" t="n">
        <f aca="false">-LN(K188)</f>
        <v>1.76843364392456</v>
      </c>
      <c r="P188" s="7" t="n">
        <f aca="false">-LN(L188)</f>
        <v>1.53525851425985</v>
      </c>
      <c r="Q188" s="7" t="n">
        <f aca="false">LN(E188)</f>
        <v>3.17805383034795</v>
      </c>
      <c r="R188" s="4" t="n">
        <v>1</v>
      </c>
      <c r="S188" s="4" t="n">
        <v>1</v>
      </c>
    </row>
    <row r="189" customFormat="false" ht="15" hidden="false" customHeight="false" outlineLevel="0" collapsed="false">
      <c r="A189" s="4" t="n">
        <v>2024</v>
      </c>
      <c r="B189" s="4" t="n">
        <v>22</v>
      </c>
      <c r="C189" s="4" t="s">
        <v>143</v>
      </c>
      <c r="D189" s="4" t="s">
        <v>144</v>
      </c>
      <c r="E189" s="4" t="n">
        <v>24</v>
      </c>
      <c r="F189" s="4" t="s">
        <v>100</v>
      </c>
      <c r="G189" s="8" t="n">
        <v>0.1744</v>
      </c>
      <c r="H189" s="4" t="s">
        <v>100</v>
      </c>
      <c r="I189" s="8" t="n">
        <v>0.2287</v>
      </c>
      <c r="J189" s="4" t="s">
        <v>142</v>
      </c>
      <c r="K189" s="8" t="n">
        <v>0.0556</v>
      </c>
      <c r="L189" s="8" t="n">
        <v>0.0514</v>
      </c>
      <c r="M189" s="4" t="n">
        <f aca="false">IF(F189=J189,1,0)</f>
        <v>0</v>
      </c>
      <c r="N189" s="4" t="n">
        <f aca="false">IF(H189=J189,1,0)</f>
        <v>0</v>
      </c>
      <c r="O189" s="7" t="n">
        <f aca="false">-LN(K189)</f>
        <v>2.8895720777256</v>
      </c>
      <c r="P189" s="7" t="n">
        <f aca="false">-LN(L189)</f>
        <v>2.96811710652102</v>
      </c>
      <c r="Q189" s="7" t="n">
        <f aca="false">LN(E189)</f>
        <v>3.17805383034795</v>
      </c>
      <c r="R189" s="4" t="n">
        <v>0</v>
      </c>
      <c r="S189" s="4" t="n">
        <v>0</v>
      </c>
    </row>
    <row r="190" customFormat="false" ht="15" hidden="false" customHeight="false" outlineLevel="0" collapsed="false">
      <c r="A190" s="4" t="n">
        <v>2024</v>
      </c>
      <c r="B190" s="4" t="n">
        <v>23</v>
      </c>
      <c r="C190" s="4" t="s">
        <v>138</v>
      </c>
      <c r="D190" s="4" t="s">
        <v>144</v>
      </c>
      <c r="E190" s="4" t="n">
        <v>24</v>
      </c>
      <c r="F190" s="4" t="s">
        <v>100</v>
      </c>
      <c r="G190" s="8" t="n">
        <v>0.1692</v>
      </c>
      <c r="H190" s="4" t="s">
        <v>100</v>
      </c>
      <c r="I190" s="8" t="n">
        <v>0.218</v>
      </c>
      <c r="J190" s="4" t="s">
        <v>100</v>
      </c>
      <c r="K190" s="8" t="n">
        <v>0.1692</v>
      </c>
      <c r="L190" s="8" t="n">
        <v>0.218</v>
      </c>
      <c r="M190" s="4" t="n">
        <f aca="false">IF(F190=J190,1,0)</f>
        <v>1</v>
      </c>
      <c r="N190" s="4" t="n">
        <f aca="false">IF(H190=J190,1,0)</f>
        <v>1</v>
      </c>
      <c r="O190" s="7" t="n">
        <f aca="false">-LN(K190)</f>
        <v>1.77667383181001</v>
      </c>
      <c r="P190" s="7" t="n">
        <f aca="false">-LN(L190)</f>
        <v>1.52326021619305</v>
      </c>
      <c r="Q190" s="7" t="n">
        <f aca="false">LN(E190)</f>
        <v>3.17805383034795</v>
      </c>
      <c r="R190" s="4" t="n">
        <v>2</v>
      </c>
      <c r="S190" s="4" t="n">
        <v>2</v>
      </c>
    </row>
    <row r="191" customFormat="false" ht="15" hidden="false" customHeight="false" outlineLevel="0" collapsed="false">
      <c r="A191" s="4" t="n">
        <v>2024</v>
      </c>
      <c r="B191" s="4" t="n">
        <v>24</v>
      </c>
      <c r="C191" s="4" t="s">
        <v>117</v>
      </c>
      <c r="D191" s="4" t="s">
        <v>144</v>
      </c>
      <c r="E191" s="4" t="n">
        <v>24</v>
      </c>
      <c r="F191" s="4" t="s">
        <v>100</v>
      </c>
      <c r="G191" s="8" t="n">
        <v>0.1683</v>
      </c>
      <c r="H191" s="4" t="s">
        <v>100</v>
      </c>
      <c r="I191" s="8" t="n">
        <v>0.2214</v>
      </c>
      <c r="J191" s="4" t="s">
        <v>145</v>
      </c>
      <c r="K191" s="8" t="n">
        <v>0.1326</v>
      </c>
      <c r="L191" s="8" t="n">
        <v>0.1493</v>
      </c>
      <c r="M191" s="4" t="n">
        <f aca="false">IF(F191=J191,1,0)</f>
        <v>0</v>
      </c>
      <c r="N191" s="4" t="n">
        <f aca="false">IF(H191=J191,1,0)</f>
        <v>0</v>
      </c>
      <c r="O191" s="7" t="n">
        <f aca="false">-LN(K191)</f>
        <v>2.02041820123038</v>
      </c>
      <c r="P191" s="7" t="n">
        <f aca="false">-LN(L191)</f>
        <v>1.90179757443699</v>
      </c>
      <c r="Q191" s="7" t="n">
        <f aca="false">LN(E191)</f>
        <v>3.17805383034795</v>
      </c>
      <c r="R191" s="4" t="n">
        <v>2</v>
      </c>
      <c r="S191" s="4" t="n">
        <v>2</v>
      </c>
    </row>
    <row r="192" customFormat="false" ht="15" hidden="false" customHeight="false" outlineLevel="0" collapsed="false">
      <c r="A192" s="4" t="n">
        <v>2025</v>
      </c>
      <c r="B192" s="4" t="n">
        <v>1</v>
      </c>
      <c r="C192" s="4" t="s">
        <v>92</v>
      </c>
      <c r="D192" s="4" t="s">
        <v>144</v>
      </c>
      <c r="E192" s="4" t="n">
        <v>21</v>
      </c>
      <c r="F192" s="4" t="s">
        <v>100</v>
      </c>
      <c r="G192" s="8" t="n">
        <v>0.1076</v>
      </c>
      <c r="H192" s="4" t="s">
        <v>100</v>
      </c>
      <c r="I192" s="8" t="n">
        <v>0.1305</v>
      </c>
      <c r="J192" s="4" t="s">
        <v>145</v>
      </c>
      <c r="K192" s="8" t="n">
        <v>0.0934</v>
      </c>
      <c r="L192" s="8" t="n">
        <v>0.104</v>
      </c>
      <c r="M192" s="4" t="n">
        <f aca="false">IF(F192=J192,1,0)</f>
        <v>0</v>
      </c>
      <c r="N192" s="4" t="n">
        <f aca="false">IF(H192=J192,1,0)</f>
        <v>0</v>
      </c>
      <c r="O192" s="7" t="n">
        <f aca="false">-LN(K192)</f>
        <v>2.37086393374734</v>
      </c>
      <c r="P192" s="7" t="n">
        <f aca="false">-LN(L192)</f>
        <v>2.26336437984076</v>
      </c>
      <c r="Q192" s="7" t="n">
        <f aca="false">LN(E192)</f>
        <v>3.04452243772342</v>
      </c>
      <c r="R192" s="4" t="n">
        <v>2</v>
      </c>
      <c r="S192" s="4" t="n">
        <v>2</v>
      </c>
    </row>
    <row r="193" customFormat="false" ht="15" hidden="false" customHeight="false" outlineLevel="0" collapsed="false">
      <c r="A193" s="4" t="n">
        <v>2025</v>
      </c>
      <c r="B193" s="4" t="n">
        <v>2</v>
      </c>
      <c r="C193" s="4" t="s">
        <v>97</v>
      </c>
      <c r="D193" s="4" t="s">
        <v>144</v>
      </c>
      <c r="E193" s="4" t="n">
        <v>21</v>
      </c>
      <c r="F193" s="4" t="s">
        <v>145</v>
      </c>
      <c r="G193" s="8" t="n">
        <v>0.1287</v>
      </c>
      <c r="H193" s="4" t="s">
        <v>145</v>
      </c>
      <c r="I193" s="8" t="n">
        <v>0.158</v>
      </c>
      <c r="J193" s="4" t="s">
        <v>146</v>
      </c>
      <c r="K193" s="8" t="n">
        <v>0.0949</v>
      </c>
      <c r="L193" s="8" t="n">
        <v>0.1036</v>
      </c>
      <c r="M193" s="4" t="n">
        <f aca="false">IF(F193=J193,1,0)</f>
        <v>0</v>
      </c>
      <c r="N193" s="4" t="n">
        <f aca="false">IF(H193=J193,1,0)</f>
        <v>0</v>
      </c>
      <c r="O193" s="7" t="n">
        <f aca="false">-LN(K193)</f>
        <v>2.35493157336626</v>
      </c>
      <c r="P193" s="7" t="n">
        <f aca="false">-LN(L193)</f>
        <v>2.26721794915675</v>
      </c>
      <c r="Q193" s="7" t="n">
        <f aca="false">LN(E193)</f>
        <v>3.04452243772342</v>
      </c>
      <c r="R193" s="4" t="n">
        <v>2</v>
      </c>
      <c r="S193" s="4" t="n">
        <v>2</v>
      </c>
    </row>
    <row r="194" customFormat="false" ht="15" hidden="false" customHeight="false" outlineLevel="0" collapsed="false">
      <c r="A194" s="4" t="n">
        <v>2025</v>
      </c>
      <c r="B194" s="4" t="n">
        <v>3</v>
      </c>
      <c r="C194" s="4" t="s">
        <v>113</v>
      </c>
      <c r="D194" s="4" t="s">
        <v>144</v>
      </c>
      <c r="E194" s="4" t="n">
        <v>21</v>
      </c>
      <c r="F194" s="4" t="s">
        <v>145</v>
      </c>
      <c r="G194" s="8" t="n">
        <v>0.1687</v>
      </c>
      <c r="H194" s="4" t="s">
        <v>145</v>
      </c>
      <c r="I194" s="8" t="n">
        <v>0.2136</v>
      </c>
      <c r="J194" s="4" t="s">
        <v>100</v>
      </c>
      <c r="K194" s="8" t="n">
        <v>0.1062</v>
      </c>
      <c r="L194" s="8" t="n">
        <v>0.1241</v>
      </c>
      <c r="M194" s="4" t="n">
        <f aca="false">IF(F194=J194,1,0)</f>
        <v>0</v>
      </c>
      <c r="N194" s="4" t="n">
        <f aca="false">IF(H194=J194,1,0)</f>
        <v>0</v>
      </c>
      <c r="O194" s="7" t="n">
        <f aca="false">-LN(K194)</f>
        <v>2.2424311701743</v>
      </c>
      <c r="P194" s="7" t="n">
        <f aca="false">-LN(L194)</f>
        <v>2.08666758677158</v>
      </c>
      <c r="Q194" s="7" t="n">
        <f aca="false">LN(E194)</f>
        <v>3.04452243772342</v>
      </c>
      <c r="R194" s="4" t="n">
        <v>2</v>
      </c>
      <c r="S194" s="4" t="n">
        <v>3</v>
      </c>
    </row>
    <row r="195" customFormat="false" ht="15" hidden="false" customHeight="false" outlineLevel="0" collapsed="false">
      <c r="A195" s="4" t="n">
        <v>2025</v>
      </c>
      <c r="B195" s="4" t="n">
        <v>4</v>
      </c>
      <c r="C195" s="4" t="s">
        <v>96</v>
      </c>
      <c r="D195" s="4" t="s">
        <v>144</v>
      </c>
      <c r="E195" s="4" t="n">
        <v>21</v>
      </c>
      <c r="F195" s="4" t="s">
        <v>145</v>
      </c>
      <c r="G195" s="8" t="n">
        <v>0.193</v>
      </c>
      <c r="H195" s="4" t="s">
        <v>145</v>
      </c>
      <c r="I195" s="8" t="n">
        <v>0.2408</v>
      </c>
      <c r="J195" s="4" t="s">
        <v>146</v>
      </c>
      <c r="K195" s="8" t="n">
        <v>0.154</v>
      </c>
      <c r="L195" s="8" t="n">
        <v>0.176</v>
      </c>
      <c r="M195" s="4" t="n">
        <f aca="false">IF(F195=J195,1,0)</f>
        <v>0</v>
      </c>
      <c r="N195" s="4" t="n">
        <f aca="false">IF(H195=J195,1,0)</f>
        <v>0</v>
      </c>
      <c r="O195" s="7" t="n">
        <f aca="false">-LN(K195)</f>
        <v>1.87080267656851</v>
      </c>
      <c r="P195" s="7" t="n">
        <f aca="false">-LN(L195)</f>
        <v>1.73727128394399</v>
      </c>
      <c r="Q195" s="7" t="n">
        <f aca="false">LN(E195)</f>
        <v>3.04452243772342</v>
      </c>
      <c r="R195" s="4" t="n">
        <v>2</v>
      </c>
      <c r="S195" s="4" t="n">
        <v>2</v>
      </c>
    </row>
    <row r="196" customFormat="false" ht="15" hidden="false" customHeight="false" outlineLevel="0" collapsed="false">
      <c r="A196" s="4" t="n">
        <v>2025</v>
      </c>
      <c r="B196" s="4" t="n">
        <v>5</v>
      </c>
      <c r="C196" s="4" t="s">
        <v>139</v>
      </c>
      <c r="D196" s="4" t="s">
        <v>144</v>
      </c>
      <c r="E196" s="4" t="n">
        <v>21</v>
      </c>
      <c r="F196" s="4" t="s">
        <v>145</v>
      </c>
      <c r="G196" s="8" t="n">
        <v>0.2059</v>
      </c>
      <c r="H196" s="4" t="s">
        <v>145</v>
      </c>
      <c r="I196" s="8" t="n">
        <v>0.2549</v>
      </c>
      <c r="J196" s="4" t="s">
        <v>146</v>
      </c>
      <c r="K196" s="8" t="n">
        <v>0.1777</v>
      </c>
      <c r="L196" s="8" t="n">
        <v>0.2078</v>
      </c>
      <c r="M196" s="4" t="n">
        <f aca="false">IF(F196=J196,1,0)</f>
        <v>0</v>
      </c>
      <c r="N196" s="4" t="n">
        <f aca="false">IF(H196=J196,1,0)</f>
        <v>0</v>
      </c>
      <c r="O196" s="7" t="n">
        <f aca="false">-LN(K196)</f>
        <v>1.72765854382153</v>
      </c>
      <c r="P196" s="7" t="n">
        <f aca="false">-LN(L196)</f>
        <v>1.57117920031701</v>
      </c>
      <c r="Q196" s="7" t="n">
        <f aca="false">LN(E196)</f>
        <v>3.04452243772342</v>
      </c>
      <c r="R196" s="4" t="n">
        <v>2</v>
      </c>
      <c r="S196" s="4" t="n">
        <v>2</v>
      </c>
    </row>
    <row r="197" customFormat="false" ht="15" hidden="false" customHeight="false" outlineLevel="0" collapsed="false">
      <c r="A197" s="4" t="n">
        <v>2025</v>
      </c>
      <c r="B197" s="4" t="n">
        <v>6</v>
      </c>
      <c r="C197" s="4" t="s">
        <v>140</v>
      </c>
      <c r="D197" s="4" t="s">
        <v>144</v>
      </c>
      <c r="E197" s="4" t="n">
        <v>21</v>
      </c>
      <c r="F197" s="4" t="s">
        <v>145</v>
      </c>
      <c r="G197" s="8" t="n">
        <v>0.2065</v>
      </c>
      <c r="H197" s="4" t="s">
        <v>145</v>
      </c>
      <c r="I197" s="8" t="n">
        <v>0.2492</v>
      </c>
      <c r="J197" s="4" t="s">
        <v>146</v>
      </c>
      <c r="K197" s="8" t="n">
        <v>0.1973</v>
      </c>
      <c r="L197" s="8" t="n">
        <v>0.2339</v>
      </c>
      <c r="M197" s="4" t="n">
        <f aca="false">IF(F197=J197,1,0)</f>
        <v>0</v>
      </c>
      <c r="N197" s="4" t="n">
        <f aca="false">IF(H197=J197,1,0)</f>
        <v>0</v>
      </c>
      <c r="O197" s="7" t="n">
        <f aca="false">-LN(K197)</f>
        <v>1.62302986595357</v>
      </c>
      <c r="P197" s="7" t="n">
        <f aca="false">-LN(L197)</f>
        <v>1.452861605392</v>
      </c>
      <c r="Q197" s="7" t="n">
        <f aca="false">LN(E197)</f>
        <v>3.04452243772342</v>
      </c>
      <c r="R197" s="4" t="n">
        <v>2</v>
      </c>
      <c r="S197" s="4" t="n">
        <v>2</v>
      </c>
    </row>
    <row r="198" customFormat="false" ht="15" hidden="false" customHeight="false" outlineLevel="0" collapsed="false">
      <c r="A198" s="4" t="n">
        <v>2025</v>
      </c>
      <c r="B198" s="4" t="n">
        <v>7</v>
      </c>
      <c r="C198" s="4" t="s">
        <v>130</v>
      </c>
      <c r="D198" s="4" t="s">
        <v>144</v>
      </c>
      <c r="E198" s="4" t="n">
        <v>21</v>
      </c>
      <c r="F198" s="4" t="s">
        <v>146</v>
      </c>
      <c r="G198" s="8" t="n">
        <v>0.2131</v>
      </c>
      <c r="H198" s="4" t="s">
        <v>146</v>
      </c>
      <c r="I198" s="8" t="n">
        <v>0.2556</v>
      </c>
      <c r="J198" s="4" t="s">
        <v>100</v>
      </c>
      <c r="K198" s="8" t="n">
        <v>0.1077</v>
      </c>
      <c r="L198" s="8" t="n">
        <v>0.1232</v>
      </c>
      <c r="M198" s="4" t="n">
        <f aca="false">IF(F198=J198,1,0)</f>
        <v>0</v>
      </c>
      <c r="N198" s="4" t="n">
        <f aca="false">IF(H198=J198,1,0)</f>
        <v>0</v>
      </c>
      <c r="O198" s="7" t="n">
        <f aca="false">-LN(K198)</f>
        <v>2.22840569481979</v>
      </c>
      <c r="P198" s="7" t="n">
        <f aca="false">-LN(L198)</f>
        <v>2.09394622788272</v>
      </c>
      <c r="Q198" s="7" t="n">
        <f aca="false">LN(E198)</f>
        <v>3.04452243772342</v>
      </c>
      <c r="R198" s="4" t="n">
        <v>3</v>
      </c>
      <c r="S198" s="4" t="n">
        <v>3</v>
      </c>
    </row>
    <row r="199" customFormat="false" ht="15" hidden="false" customHeight="false" outlineLevel="0" collapsed="false">
      <c r="A199" s="4" t="n">
        <v>2025</v>
      </c>
      <c r="B199" s="4" t="n">
        <v>8</v>
      </c>
      <c r="C199" s="4" t="s">
        <v>101</v>
      </c>
      <c r="D199" s="4" t="s">
        <v>144</v>
      </c>
      <c r="E199" s="4" t="n">
        <v>21</v>
      </c>
      <c r="F199" s="4" t="s">
        <v>145</v>
      </c>
      <c r="G199" s="8" t="n">
        <v>0.2185</v>
      </c>
      <c r="H199" s="4" t="s">
        <v>145</v>
      </c>
      <c r="I199" s="8" t="n">
        <v>0.2602</v>
      </c>
      <c r="J199" s="4" t="s">
        <v>145</v>
      </c>
      <c r="K199" s="8" t="n">
        <v>0.2185</v>
      </c>
      <c r="L199" s="8" t="n">
        <v>0.2602</v>
      </c>
      <c r="M199" s="4" t="n">
        <f aca="false">IF(F199=J199,1,0)</f>
        <v>1</v>
      </c>
      <c r="N199" s="4" t="n">
        <f aca="false">IF(H199=J199,1,0)</f>
        <v>1</v>
      </c>
      <c r="O199" s="7" t="n">
        <f aca="false">-LN(K199)</f>
        <v>1.52096926444649</v>
      </c>
      <c r="P199" s="7" t="n">
        <f aca="false">-LN(L199)</f>
        <v>1.34630471290373</v>
      </c>
      <c r="Q199" s="7" t="n">
        <f aca="false">LN(E199)</f>
        <v>3.04452243772342</v>
      </c>
      <c r="R199" s="4" t="n">
        <v>2</v>
      </c>
      <c r="S199" s="4" t="n">
        <v>2</v>
      </c>
    </row>
    <row r="200" customFormat="false" ht="15" hidden="false" customHeight="false" outlineLevel="0" collapsed="false">
      <c r="A200" s="4" t="n">
        <v>2025</v>
      </c>
      <c r="B200" s="4" t="n">
        <v>9</v>
      </c>
      <c r="C200" s="4" t="s">
        <v>99</v>
      </c>
      <c r="D200" s="4" t="s">
        <v>144</v>
      </c>
      <c r="E200" s="4" t="n">
        <v>21</v>
      </c>
      <c r="F200" s="4" t="s">
        <v>145</v>
      </c>
      <c r="G200" s="8" t="n">
        <v>0.2333</v>
      </c>
      <c r="H200" s="4" t="s">
        <v>145</v>
      </c>
      <c r="I200" s="8" t="n">
        <v>0.2833</v>
      </c>
      <c r="J200" s="4" t="s">
        <v>146</v>
      </c>
      <c r="K200" s="8" t="n">
        <v>0.2135</v>
      </c>
      <c r="L200" s="8" t="n">
        <v>0.2504</v>
      </c>
      <c r="M200" s="4" t="n">
        <f aca="false">IF(F200=J200,1,0)</f>
        <v>0</v>
      </c>
      <c r="N200" s="4" t="n">
        <f aca="false">IF(H200=J200,1,0)</f>
        <v>0</v>
      </c>
      <c r="O200" s="7" t="n">
        <f aca="false">-LN(K200)</f>
        <v>1.54411844631346</v>
      </c>
      <c r="P200" s="7" t="n">
        <f aca="false">-LN(L200)</f>
        <v>1.38469563975619</v>
      </c>
      <c r="Q200" s="7" t="n">
        <f aca="false">LN(E200)</f>
        <v>3.04452243772342</v>
      </c>
      <c r="R200" s="4" t="n">
        <v>2</v>
      </c>
      <c r="S200" s="4" t="n">
        <v>2</v>
      </c>
    </row>
    <row r="201" customFormat="false" ht="15" hidden="false" customHeight="false" outlineLevel="0" collapsed="false">
      <c r="A201" s="4" t="n">
        <v>2025</v>
      </c>
      <c r="B201" s="4" t="n">
        <v>10</v>
      </c>
      <c r="C201" s="4" t="s">
        <v>102</v>
      </c>
      <c r="D201" s="4" t="s">
        <v>144</v>
      </c>
      <c r="E201" s="4" t="n">
        <v>21</v>
      </c>
      <c r="F201" s="4" t="s">
        <v>145</v>
      </c>
      <c r="G201" s="8" t="n">
        <v>0.2353</v>
      </c>
      <c r="H201" s="4" t="s">
        <v>145</v>
      </c>
      <c r="I201" s="8" t="n">
        <v>0.2852</v>
      </c>
      <c r="J201" s="4" t="s">
        <v>142</v>
      </c>
      <c r="K201" s="8" t="n">
        <v>0.0707</v>
      </c>
      <c r="L201" s="8" t="n">
        <v>0.066</v>
      </c>
      <c r="M201" s="4" t="n">
        <f aca="false">IF(F201=J201,1,0)</f>
        <v>0</v>
      </c>
      <c r="N201" s="4" t="n">
        <f aca="false">IF(H201=J201,1,0)</f>
        <v>0</v>
      </c>
      <c r="O201" s="7" t="n">
        <f aca="false">-LN(K201)</f>
        <v>2.64930970607961</v>
      </c>
      <c r="P201" s="7" t="n">
        <f aca="false">-LN(L201)</f>
        <v>2.71810053695571</v>
      </c>
      <c r="Q201" s="7" t="n">
        <f aca="false">LN(E201)</f>
        <v>3.04452243772342</v>
      </c>
      <c r="R201" s="4" t="n">
        <v>1</v>
      </c>
      <c r="S201" s="4" t="n">
        <v>1</v>
      </c>
    </row>
    <row r="202" customFormat="false" ht="15" hidden="false" customHeight="false" outlineLevel="0" collapsed="false">
      <c r="A202" s="4" t="n">
        <v>2025</v>
      </c>
      <c r="B202" s="4" t="n">
        <v>11</v>
      </c>
      <c r="C202" s="4" t="s">
        <v>104</v>
      </c>
      <c r="D202" s="4" t="s">
        <v>144</v>
      </c>
      <c r="E202" s="4" t="n">
        <v>21</v>
      </c>
      <c r="F202" s="4" t="s">
        <v>146</v>
      </c>
      <c r="G202" s="8" t="n">
        <v>0.2234</v>
      </c>
      <c r="H202" s="4" t="s">
        <v>146</v>
      </c>
      <c r="I202" s="8" t="n">
        <v>0.2644</v>
      </c>
      <c r="J202" s="4" t="s">
        <v>145</v>
      </c>
      <c r="K202" s="8" t="n">
        <v>0.2046</v>
      </c>
      <c r="L202" s="8" t="n">
        <v>0.234</v>
      </c>
      <c r="M202" s="4" t="n">
        <f aca="false">IF(F202=J202,1,0)</f>
        <v>0</v>
      </c>
      <c r="N202" s="4" t="n">
        <f aca="false">IF(H202=J202,1,0)</f>
        <v>0</v>
      </c>
      <c r="O202" s="7" t="n">
        <f aca="false">-LN(K202)</f>
        <v>1.58669842546461</v>
      </c>
      <c r="P202" s="7" t="n">
        <f aca="false">-LN(L202)</f>
        <v>1.45243416362444</v>
      </c>
      <c r="Q202" s="7" t="n">
        <f aca="false">LN(E202)</f>
        <v>3.04452243772342</v>
      </c>
      <c r="R202" s="4" t="n">
        <v>2</v>
      </c>
      <c r="S202" s="4" t="n">
        <v>2</v>
      </c>
    </row>
    <row r="203" customFormat="false" ht="15" hidden="false" customHeight="false" outlineLevel="0" collapsed="false">
      <c r="A203" s="4" t="n">
        <v>2025</v>
      </c>
      <c r="B203" s="4" t="n">
        <v>12</v>
      </c>
      <c r="C203" s="4" t="s">
        <v>105</v>
      </c>
      <c r="D203" s="4" t="s">
        <v>144</v>
      </c>
      <c r="E203" s="4" t="n">
        <v>21</v>
      </c>
      <c r="F203" s="4" t="s">
        <v>146</v>
      </c>
      <c r="G203" s="8" t="n">
        <v>0.2229</v>
      </c>
      <c r="H203" s="4" t="s">
        <v>146</v>
      </c>
      <c r="I203" s="8" t="n">
        <v>0.2669</v>
      </c>
      <c r="J203" s="4" t="s">
        <v>145</v>
      </c>
      <c r="K203" s="8" t="n">
        <v>0.2144</v>
      </c>
      <c r="L203" s="8" t="n">
        <v>0.2528</v>
      </c>
      <c r="M203" s="4" t="n">
        <f aca="false">IF(F203=J203,1,0)</f>
        <v>0</v>
      </c>
      <c r="N203" s="4" t="n">
        <f aca="false">IF(H203=J203,1,0)</f>
        <v>0</v>
      </c>
      <c r="O203" s="7" t="n">
        <f aca="false">-LN(K203)</f>
        <v>1.53991184978549</v>
      </c>
      <c r="P203" s="7" t="n">
        <f aca="false">-LN(L203)</f>
        <v>1.37515661670943</v>
      </c>
      <c r="Q203" s="7" t="n">
        <f aca="false">LN(E203)</f>
        <v>3.04452243772342</v>
      </c>
      <c r="R203" s="4" t="n">
        <v>2</v>
      </c>
      <c r="S203" s="4" t="n">
        <v>2</v>
      </c>
    </row>
    <row r="204" customFormat="false" ht="15" hidden="false" customHeight="false" outlineLevel="0" collapsed="false">
      <c r="A204" s="4" t="n">
        <v>2025</v>
      </c>
      <c r="B204" s="4" t="n">
        <v>13</v>
      </c>
      <c r="C204" s="4" t="s">
        <v>108</v>
      </c>
      <c r="D204" s="4" t="s">
        <v>144</v>
      </c>
      <c r="E204" s="4" t="n">
        <v>21</v>
      </c>
      <c r="F204" s="4" t="s">
        <v>145</v>
      </c>
      <c r="G204" s="8" t="n">
        <v>0.2264</v>
      </c>
      <c r="H204" s="4" t="s">
        <v>145</v>
      </c>
      <c r="I204" s="8" t="n">
        <v>0.2737</v>
      </c>
      <c r="J204" s="4" t="s">
        <v>146</v>
      </c>
      <c r="K204" s="8" t="n">
        <v>0.2242</v>
      </c>
      <c r="L204" s="8" t="n">
        <v>0.2699</v>
      </c>
      <c r="M204" s="4" t="n">
        <f aca="false">IF(F204=J204,1,0)</f>
        <v>0</v>
      </c>
      <c r="N204" s="4" t="n">
        <f aca="false">IF(H204=J204,1,0)</f>
        <v>0</v>
      </c>
      <c r="O204" s="7" t="n">
        <f aca="false">-LN(K204)</f>
        <v>1.49521676834408</v>
      </c>
      <c r="P204" s="7" t="n">
        <f aca="false">-LN(L204)</f>
        <v>1.30970375895818</v>
      </c>
      <c r="Q204" s="7" t="n">
        <f aca="false">LN(E204)</f>
        <v>3.04452243772342</v>
      </c>
      <c r="R204" s="4" t="n">
        <v>2</v>
      </c>
      <c r="S204" s="4" t="n">
        <v>2</v>
      </c>
    </row>
    <row r="205" customFormat="false" ht="15" hidden="false" customHeight="false" outlineLevel="0" collapsed="false">
      <c r="A205" s="4" t="n">
        <v>2025</v>
      </c>
      <c r="B205" s="4" t="n">
        <v>14</v>
      </c>
      <c r="C205" s="4" t="s">
        <v>106</v>
      </c>
      <c r="D205" s="4" t="s">
        <v>144</v>
      </c>
      <c r="E205" s="4" t="n">
        <v>21</v>
      </c>
      <c r="F205" s="4" t="s">
        <v>146</v>
      </c>
      <c r="G205" s="8" t="n">
        <v>0.2358</v>
      </c>
      <c r="H205" s="4" t="s">
        <v>146</v>
      </c>
      <c r="I205" s="8" t="n">
        <v>0.2877</v>
      </c>
      <c r="J205" s="4" t="s">
        <v>145</v>
      </c>
      <c r="K205" s="8" t="n">
        <v>0.2243</v>
      </c>
      <c r="L205" s="8" t="n">
        <v>0.2685</v>
      </c>
      <c r="M205" s="4" t="n">
        <f aca="false">IF(F205=J205,1,0)</f>
        <v>0</v>
      </c>
      <c r="N205" s="4" t="n">
        <f aca="false">IF(H205=J205,1,0)</f>
        <v>0</v>
      </c>
      <c r="O205" s="7" t="n">
        <f aca="false">-LN(K205)</f>
        <v>1.49477083745597</v>
      </c>
      <c r="P205" s="7" t="n">
        <f aca="false">-LN(L205)</f>
        <v>1.31490436503322</v>
      </c>
      <c r="Q205" s="7" t="n">
        <f aca="false">LN(E205)</f>
        <v>3.04452243772342</v>
      </c>
      <c r="R205" s="4" t="n">
        <v>2</v>
      </c>
      <c r="S205" s="4" t="n">
        <v>2</v>
      </c>
    </row>
    <row r="206" customFormat="false" ht="15" hidden="false" customHeight="false" outlineLevel="0" collapsed="false">
      <c r="A206" s="4" t="n">
        <v>2025</v>
      </c>
      <c r="B206" s="4" t="n">
        <v>15</v>
      </c>
      <c r="C206" s="4" t="s">
        <v>135</v>
      </c>
      <c r="D206" s="4" t="s">
        <v>144</v>
      </c>
      <c r="E206" s="4" t="n">
        <v>21</v>
      </c>
      <c r="F206" s="4" t="s">
        <v>146</v>
      </c>
      <c r="G206" s="8" t="n">
        <v>0.236</v>
      </c>
      <c r="H206" s="4" t="s">
        <v>146</v>
      </c>
      <c r="I206" s="8" t="n">
        <v>0.2863</v>
      </c>
      <c r="J206" s="4" t="s">
        <v>146</v>
      </c>
      <c r="K206" s="8" t="n">
        <v>0.236</v>
      </c>
      <c r="L206" s="8" t="n">
        <v>0.2863</v>
      </c>
      <c r="M206" s="4" t="n">
        <f aca="false">IF(F206=J206,1,0)</f>
        <v>1</v>
      </c>
      <c r="N206" s="4" t="n">
        <f aca="false">IF(H206=J206,1,0)</f>
        <v>1</v>
      </c>
      <c r="O206" s="7" t="n">
        <f aca="false">-LN(K206)</f>
        <v>1.44392347395653</v>
      </c>
      <c r="P206" s="7" t="n">
        <f aca="false">-LN(L206)</f>
        <v>1.25071506687807</v>
      </c>
      <c r="Q206" s="7" t="n">
        <f aca="false">LN(E206)</f>
        <v>3.04452243772342</v>
      </c>
      <c r="R206" s="4" t="n">
        <v>2</v>
      </c>
      <c r="S206" s="4" t="n">
        <v>2</v>
      </c>
    </row>
    <row r="207" customFormat="false" ht="15" hidden="false" customHeight="false" outlineLevel="0" collapsed="false">
      <c r="A207" s="4" t="n">
        <v>2025</v>
      </c>
      <c r="B207" s="4" t="n">
        <v>16</v>
      </c>
      <c r="C207" s="4" t="s">
        <v>109</v>
      </c>
      <c r="D207" s="4" t="s">
        <v>144</v>
      </c>
      <c r="E207" s="4" t="n">
        <v>21</v>
      </c>
      <c r="F207" s="4" t="s">
        <v>146</v>
      </c>
      <c r="G207" s="8" t="n">
        <v>0.2559</v>
      </c>
      <c r="H207" s="4" t="s">
        <v>146</v>
      </c>
      <c r="I207" s="8" t="n">
        <v>0.3193</v>
      </c>
      <c r="J207" s="4" t="s">
        <v>100</v>
      </c>
      <c r="K207" s="8" t="n">
        <v>0.0862</v>
      </c>
      <c r="L207" s="8" t="n">
        <v>0.0939</v>
      </c>
      <c r="M207" s="4" t="n">
        <f aca="false">IF(F207=J207,1,0)</f>
        <v>0</v>
      </c>
      <c r="N207" s="4" t="n">
        <f aca="false">IF(H207=J207,1,0)</f>
        <v>0</v>
      </c>
      <c r="O207" s="7" t="n">
        <f aca="false">-LN(K207)</f>
        <v>2.45108510131249</v>
      </c>
      <c r="P207" s="7" t="n">
        <f aca="false">-LN(L207)</f>
        <v>2.36552489276792</v>
      </c>
      <c r="Q207" s="7" t="n">
        <f aca="false">LN(E207)</f>
        <v>3.04452243772342</v>
      </c>
      <c r="R207" s="4" t="n">
        <v>3</v>
      </c>
      <c r="S207" s="4" t="n">
        <v>3</v>
      </c>
    </row>
    <row r="208" customFormat="false" ht="15" hidden="false" customHeight="false" outlineLevel="0" collapsed="false">
      <c r="A208" s="4" t="n">
        <v>2025</v>
      </c>
      <c r="B208" s="4" t="n">
        <v>17</v>
      </c>
      <c r="C208" s="4" t="s">
        <v>120</v>
      </c>
      <c r="D208" s="4" t="s">
        <v>144</v>
      </c>
      <c r="E208" s="4" t="n">
        <v>21</v>
      </c>
      <c r="F208" s="4" t="s">
        <v>146</v>
      </c>
      <c r="G208" s="8" t="n">
        <v>0.2533</v>
      </c>
      <c r="H208" s="4" t="s">
        <v>146</v>
      </c>
      <c r="I208" s="8" t="n">
        <v>0.3132</v>
      </c>
      <c r="J208" s="4" t="s">
        <v>100</v>
      </c>
      <c r="K208" s="8" t="n">
        <v>0.0883</v>
      </c>
      <c r="L208" s="8" t="n">
        <v>0.0986</v>
      </c>
      <c r="M208" s="4" t="n">
        <f aca="false">IF(F208=J208,1,0)</f>
        <v>0</v>
      </c>
      <c r="N208" s="4" t="n">
        <f aca="false">IF(H208=J208,1,0)</f>
        <v>0</v>
      </c>
      <c r="O208" s="7" t="n">
        <f aca="false">-LN(K208)</f>
        <v>2.42701517137222</v>
      </c>
      <c r="P208" s="7" t="n">
        <f aca="false">-LN(L208)</f>
        <v>2.31668401737355</v>
      </c>
      <c r="Q208" s="7" t="n">
        <f aca="false">LN(E208)</f>
        <v>3.04452243772342</v>
      </c>
      <c r="R208" s="4" t="n">
        <v>1</v>
      </c>
      <c r="S208" s="4" t="n">
        <v>1</v>
      </c>
    </row>
    <row r="209" customFormat="false" ht="15" hidden="false" customHeight="false" outlineLevel="0" collapsed="false">
      <c r="A209" s="4" t="n">
        <v>2025</v>
      </c>
      <c r="B209" s="4" t="n">
        <v>18</v>
      </c>
      <c r="C209" s="4" t="s">
        <v>110</v>
      </c>
      <c r="D209" s="4" t="s">
        <v>144</v>
      </c>
      <c r="E209" s="4" t="n">
        <v>21</v>
      </c>
      <c r="F209" s="4" t="s">
        <v>146</v>
      </c>
      <c r="G209" s="8" t="n">
        <v>0.2233</v>
      </c>
      <c r="H209" s="4" t="s">
        <v>146</v>
      </c>
      <c r="I209" s="8" t="n">
        <v>0.2629</v>
      </c>
      <c r="J209" s="4" t="s">
        <v>142</v>
      </c>
      <c r="K209" s="8" t="n">
        <v>0.0878</v>
      </c>
      <c r="L209" s="8" t="n">
        <v>0.0967</v>
      </c>
      <c r="M209" s="4" t="n">
        <f aca="false">IF(F209=J209,1,0)</f>
        <v>0</v>
      </c>
      <c r="N209" s="4" t="n">
        <f aca="false">IF(H209=J209,1,0)</f>
        <v>0</v>
      </c>
      <c r="O209" s="7" t="n">
        <f aca="false">-LN(K209)</f>
        <v>2.43269377834107</v>
      </c>
      <c r="P209" s="7" t="n">
        <f aca="false">-LN(L209)</f>
        <v>2.33614187652289</v>
      </c>
      <c r="Q209" s="7" t="n">
        <f aca="false">LN(E209)</f>
        <v>3.04452243772342</v>
      </c>
      <c r="R209" s="4" t="n">
        <v>2</v>
      </c>
      <c r="S209" s="4" t="n">
        <v>2</v>
      </c>
    </row>
    <row r="210" customFormat="false" ht="15" hidden="false" customHeight="false" outlineLevel="0" collapsed="false">
      <c r="A210" s="4" t="n">
        <v>2025</v>
      </c>
      <c r="B210" s="4" t="n">
        <v>19</v>
      </c>
      <c r="C210" s="4" t="s">
        <v>114</v>
      </c>
      <c r="D210" s="4" t="s">
        <v>144</v>
      </c>
      <c r="E210" s="4" t="n">
        <v>21</v>
      </c>
      <c r="F210" s="4" t="s">
        <v>146</v>
      </c>
      <c r="G210" s="8" t="n">
        <v>0.218</v>
      </c>
      <c r="H210" s="4" t="s">
        <v>146</v>
      </c>
      <c r="I210" s="8" t="n">
        <v>0.2555</v>
      </c>
      <c r="J210" s="4" t="s">
        <v>100</v>
      </c>
      <c r="K210" s="8" t="n">
        <v>0.1021</v>
      </c>
      <c r="L210" s="8" t="n">
        <v>0.1225</v>
      </c>
      <c r="M210" s="4" t="n">
        <f aca="false">IF(F210=J210,1,0)</f>
        <v>0</v>
      </c>
      <c r="N210" s="4" t="n">
        <f aca="false">IF(H210=J210,1,0)</f>
        <v>0</v>
      </c>
      <c r="O210" s="7" t="n">
        <f aca="false">-LN(K210)</f>
        <v>2.28180255381152</v>
      </c>
      <c r="P210" s="7" t="n">
        <f aca="false">-LN(L210)</f>
        <v>2.09964424899736</v>
      </c>
      <c r="Q210" s="7" t="n">
        <f aca="false">LN(E210)</f>
        <v>3.04452243772342</v>
      </c>
      <c r="R210" s="4" t="n">
        <v>2</v>
      </c>
      <c r="S210" s="4" t="n">
        <v>2</v>
      </c>
    </row>
    <row r="211" customFormat="false" ht="15" hidden="false" customHeight="false" outlineLevel="0" collapsed="false">
      <c r="A211" s="4" t="n">
        <v>2025</v>
      </c>
      <c r="B211" s="4" t="n">
        <v>20</v>
      </c>
      <c r="C211" s="4" t="s">
        <v>136</v>
      </c>
      <c r="D211" s="4" t="s">
        <v>144</v>
      </c>
      <c r="E211" s="4" t="n">
        <v>21</v>
      </c>
      <c r="F211" s="4" t="s">
        <v>146</v>
      </c>
      <c r="G211" s="8" t="n">
        <v>0.2085</v>
      </c>
      <c r="H211" s="4" t="s">
        <v>146</v>
      </c>
      <c r="I211" s="8" t="n">
        <v>0.2416</v>
      </c>
      <c r="J211" s="4" t="s">
        <v>145</v>
      </c>
      <c r="K211" s="8" t="n">
        <v>0.2007</v>
      </c>
      <c r="L211" s="8" t="n">
        <v>0.2291</v>
      </c>
      <c r="M211" s="4" t="n">
        <f aca="false">IF(F211=J211,1,0)</f>
        <v>0</v>
      </c>
      <c r="N211" s="4" t="n">
        <f aca="false">IF(H211=J211,1,0)</f>
        <v>0</v>
      </c>
      <c r="O211" s="7" t="n">
        <f aca="false">-LN(K211)</f>
        <v>1.60594402317984</v>
      </c>
      <c r="P211" s="7" t="n">
        <f aca="false">-LN(L211)</f>
        <v>1.47359668952269</v>
      </c>
      <c r="Q211" s="7" t="n">
        <f aca="false">LN(E211)</f>
        <v>3.04452243772342</v>
      </c>
      <c r="R211" s="4" t="n">
        <v>2</v>
      </c>
      <c r="S211" s="4" t="n">
        <v>2</v>
      </c>
    </row>
    <row r="212" customFormat="false" ht="15" hidden="false" customHeight="false" outlineLevel="0" collapsed="false">
      <c r="A212" s="4" t="n">
        <v>2025</v>
      </c>
      <c r="B212" s="4" t="n">
        <v>21</v>
      </c>
      <c r="C212" s="4" t="s">
        <v>137</v>
      </c>
      <c r="D212" s="4" t="s">
        <v>144</v>
      </c>
      <c r="E212" s="4" t="n">
        <v>21</v>
      </c>
      <c r="F212" s="4" t="s">
        <v>145</v>
      </c>
      <c r="G212" s="8" t="n">
        <v>0.2116</v>
      </c>
      <c r="H212" s="4" t="s">
        <v>145</v>
      </c>
      <c r="I212" s="8" t="n">
        <v>0.2496</v>
      </c>
      <c r="J212" s="4" t="s">
        <v>145</v>
      </c>
      <c r="K212" s="8" t="n">
        <v>0.2116</v>
      </c>
      <c r="L212" s="8" t="n">
        <v>0.2496</v>
      </c>
      <c r="M212" s="4" t="n">
        <f aca="false">IF(F212=J212,1,0)</f>
        <v>1</v>
      </c>
      <c r="N212" s="4" t="n">
        <f aca="false">IF(H212=J212,1,0)</f>
        <v>1</v>
      </c>
      <c r="O212" s="7" t="n">
        <f aca="false">-LN(K212)</f>
        <v>1.55305757899799</v>
      </c>
      <c r="P212" s="7" t="n">
        <f aca="false">-LN(L212)</f>
        <v>1.38789564248686</v>
      </c>
      <c r="Q212" s="7" t="n">
        <f aca="false">LN(E212)</f>
        <v>3.04452243772342</v>
      </c>
      <c r="R212" s="4" t="n">
        <v>2</v>
      </c>
      <c r="S212" s="4" t="n">
        <v>2</v>
      </c>
    </row>
    <row r="213" customFormat="false" ht="15" hidden="false" customHeight="false" outlineLevel="0" collapsed="false">
      <c r="A213" s="4" t="n">
        <v>2025</v>
      </c>
      <c r="B213" s="4" t="n">
        <v>22</v>
      </c>
      <c r="C213" s="4" t="s">
        <v>143</v>
      </c>
      <c r="D213" s="4" t="s">
        <v>144</v>
      </c>
      <c r="E213" s="4" t="n">
        <v>21</v>
      </c>
      <c r="F213" s="4" t="s">
        <v>145</v>
      </c>
      <c r="G213" s="8" t="n">
        <v>0.2321</v>
      </c>
      <c r="H213" s="4" t="s">
        <v>145</v>
      </c>
      <c r="I213" s="8" t="n">
        <v>0.2851</v>
      </c>
      <c r="J213" s="4" t="s">
        <v>100</v>
      </c>
      <c r="K213" s="8" t="n">
        <v>0.1073</v>
      </c>
      <c r="L213" s="8" t="n">
        <v>0.1255</v>
      </c>
      <c r="M213" s="4" t="n">
        <f aca="false">IF(F213=J213,1,0)</f>
        <v>0</v>
      </c>
      <c r="N213" s="4" t="n">
        <f aca="false">IF(H213=J213,1,0)</f>
        <v>0</v>
      </c>
      <c r="O213" s="7" t="n">
        <f aca="false">-LN(K213)</f>
        <v>2.23212662934548</v>
      </c>
      <c r="P213" s="7" t="n">
        <f aca="false">-LN(L213)</f>
        <v>2.0754495204103</v>
      </c>
      <c r="Q213" s="7" t="n">
        <f aca="false">LN(E213)</f>
        <v>3.04452243772342</v>
      </c>
      <c r="R213" s="4" t="n">
        <v>1</v>
      </c>
      <c r="S213" s="4" t="n">
        <v>1</v>
      </c>
    </row>
    <row r="214" customFormat="false" ht="15" hidden="false" customHeight="false" outlineLevel="0" collapsed="false">
      <c r="A214" s="4" t="n">
        <v>2025</v>
      </c>
      <c r="B214" s="4" t="n">
        <v>23</v>
      </c>
      <c r="C214" s="4" t="s">
        <v>138</v>
      </c>
      <c r="D214" s="4" t="s">
        <v>144</v>
      </c>
      <c r="E214" s="4" t="n">
        <v>21</v>
      </c>
      <c r="F214" s="4" t="s">
        <v>145</v>
      </c>
      <c r="G214" s="8" t="n">
        <v>0.2019</v>
      </c>
      <c r="H214" s="4" t="s">
        <v>145</v>
      </c>
      <c r="I214" s="8" t="n">
        <v>0.2355</v>
      </c>
      <c r="J214" s="4" t="s">
        <v>100</v>
      </c>
      <c r="K214" s="8" t="n">
        <v>0.1173</v>
      </c>
      <c r="L214" s="8" t="n">
        <v>0.1458</v>
      </c>
      <c r="M214" s="4" t="n">
        <f aca="false">IF(F214=J214,1,0)</f>
        <v>0</v>
      </c>
      <c r="N214" s="4" t="n">
        <f aca="false">IF(H214=J214,1,0)</f>
        <v>0</v>
      </c>
      <c r="O214" s="7" t="n">
        <f aca="false">-LN(K214)</f>
        <v>2.14302052332271</v>
      </c>
      <c r="P214" s="7" t="n">
        <f aca="false">-LN(L214)</f>
        <v>1.92551945940758</v>
      </c>
      <c r="Q214" s="7" t="n">
        <f aca="false">LN(E214)</f>
        <v>3.04452243772342</v>
      </c>
      <c r="R214" s="4" t="n">
        <v>2</v>
      </c>
      <c r="S214" s="4" t="n">
        <v>2</v>
      </c>
    </row>
    <row r="215" customFormat="false" ht="15" hidden="false" customHeight="false" outlineLevel="0" collapsed="false">
      <c r="A215" s="4" t="n">
        <v>2025</v>
      </c>
      <c r="B215" s="4" t="n">
        <v>24</v>
      </c>
      <c r="C215" s="4" t="s">
        <v>117</v>
      </c>
      <c r="D215" s="4" t="s">
        <v>144</v>
      </c>
      <c r="E215" s="4" t="n">
        <v>21</v>
      </c>
      <c r="F215" s="4" t="s">
        <v>145</v>
      </c>
      <c r="G215" s="8" t="n">
        <v>0.1996</v>
      </c>
      <c r="H215" s="4" t="s">
        <v>145</v>
      </c>
      <c r="I215" s="8" t="n">
        <v>0.2342</v>
      </c>
      <c r="J215" s="4" t="s">
        <v>100</v>
      </c>
      <c r="K215" s="8" t="n">
        <v>0.1205</v>
      </c>
      <c r="L215" s="8" t="n">
        <v>0.1503</v>
      </c>
      <c r="M215" s="4" t="n">
        <f aca="false">IF(F215=J215,1,0)</f>
        <v>0</v>
      </c>
      <c r="N215" s="4" t="n">
        <f aca="false">IF(H215=J215,1,0)</f>
        <v>0</v>
      </c>
      <c r="O215" s="7" t="n">
        <f aca="false">-LN(K215)</f>
        <v>2.11610552605143</v>
      </c>
      <c r="P215" s="7" t="n">
        <f aca="false">-LN(L215)</f>
        <v>1.89512198222321</v>
      </c>
      <c r="Q215" s="7" t="n">
        <f aca="false">LN(E215)</f>
        <v>3.04452243772342</v>
      </c>
      <c r="R215" s="4" t="n">
        <v>3</v>
      </c>
      <c r="S215" s="4" t="n">
        <v>3</v>
      </c>
    </row>
    <row r="216" customFormat="false" ht="15" hidden="false" customHeight="false" outlineLevel="0" collapsed="false">
      <c r="A216" s="4" t="n">
        <v>2026</v>
      </c>
      <c r="B216" s="4" t="n">
        <v>1</v>
      </c>
      <c r="C216" s="4" t="s">
        <v>92</v>
      </c>
      <c r="D216" s="4" t="s">
        <v>144</v>
      </c>
      <c r="E216" s="4" t="n">
        <v>22</v>
      </c>
      <c r="F216" s="4" t="s">
        <v>100</v>
      </c>
      <c r="G216" s="8" t="n">
        <v>0.0818</v>
      </c>
      <c r="H216" s="4" t="s">
        <v>100</v>
      </c>
      <c r="I216" s="8" t="n">
        <v>0.099</v>
      </c>
      <c r="J216" s="4" t="s">
        <v>142</v>
      </c>
      <c r="K216" s="8" t="n">
        <v>0.0649</v>
      </c>
      <c r="L216" s="8" t="n">
        <v>0.0716</v>
      </c>
      <c r="M216" s="4" t="n">
        <f aca="false">IF(F216=J216,1,0)</f>
        <v>0</v>
      </c>
      <c r="N216" s="4" t="n">
        <f aca="false">IF(H216=J216,1,0)</f>
        <v>0</v>
      </c>
      <c r="O216" s="7" t="n">
        <f aca="false">-LN(K216)</f>
        <v>2.73490765527209</v>
      </c>
      <c r="P216" s="7" t="n">
        <f aca="false">-LN(L216)</f>
        <v>2.63666020501554</v>
      </c>
      <c r="Q216" s="7" t="n">
        <f aca="false">LN(E216)</f>
        <v>3.09104245335832</v>
      </c>
      <c r="R216" s="4" t="n">
        <v>0</v>
      </c>
      <c r="S216" s="4" t="n">
        <v>0</v>
      </c>
    </row>
    <row r="217" customFormat="false" ht="15" hidden="false" customHeight="false" outlineLevel="0" collapsed="false">
      <c r="A217" s="4" t="n">
        <v>2026</v>
      </c>
      <c r="B217" s="4" t="n">
        <v>2</v>
      </c>
      <c r="C217" s="4" t="s">
        <v>97</v>
      </c>
      <c r="D217" s="4" t="s">
        <v>144</v>
      </c>
      <c r="E217" s="4" t="n">
        <v>22</v>
      </c>
      <c r="F217" s="4" t="s">
        <v>142</v>
      </c>
      <c r="G217" s="8" t="n">
        <v>0.1543</v>
      </c>
      <c r="H217" s="4" t="s">
        <v>142</v>
      </c>
      <c r="I217" s="8" t="n">
        <v>0.2046</v>
      </c>
      <c r="J217" s="4" t="s">
        <v>147</v>
      </c>
      <c r="K217" s="8" t="n">
        <v>0.1028</v>
      </c>
      <c r="L217" s="8" t="n">
        <v>0.1165</v>
      </c>
      <c r="M217" s="4" t="n">
        <f aca="false">IF(F217=J217,1,0)</f>
        <v>0</v>
      </c>
      <c r="N217" s="4" t="n">
        <f aca="false">IF(H217=J217,1,0)</f>
        <v>0</v>
      </c>
      <c r="O217" s="7" t="n">
        <f aca="false">-LN(K217)</f>
        <v>2.27496992596107</v>
      </c>
      <c r="P217" s="7" t="n">
        <f aca="false">-LN(L217)</f>
        <v>2.14986400597638</v>
      </c>
      <c r="Q217" s="7" t="n">
        <f aca="false">LN(E217)</f>
        <v>3.09104245335832</v>
      </c>
      <c r="R217" s="4" t="n">
        <v>2</v>
      </c>
      <c r="S217" s="4" t="n">
        <v>2</v>
      </c>
    </row>
    <row r="218" customFormat="false" ht="15" hidden="false" customHeight="false" outlineLevel="0" collapsed="false">
      <c r="A218" s="4" t="n">
        <v>2026</v>
      </c>
      <c r="B218" s="4" t="n">
        <v>3</v>
      </c>
      <c r="C218" s="4" t="s">
        <v>113</v>
      </c>
      <c r="D218" s="4" t="s">
        <v>144</v>
      </c>
      <c r="E218" s="4" t="n">
        <v>22</v>
      </c>
      <c r="F218" s="4" t="s">
        <v>142</v>
      </c>
      <c r="G218" s="8" t="n">
        <v>0.2201</v>
      </c>
      <c r="H218" s="4" t="s">
        <v>142</v>
      </c>
      <c r="I218" s="8" t="n">
        <v>0.2879</v>
      </c>
      <c r="J218" s="4" t="s">
        <v>147</v>
      </c>
      <c r="K218" s="8" t="n">
        <v>0.152</v>
      </c>
      <c r="L218" s="8" t="n">
        <v>0.1723</v>
      </c>
      <c r="M218" s="4" t="n">
        <f aca="false">IF(F218=J218,1,0)</f>
        <v>0</v>
      </c>
      <c r="N218" s="4" t="n">
        <f aca="false">IF(H218=J218,1,0)</f>
        <v>0</v>
      </c>
      <c r="O218" s="7" t="n">
        <f aca="false">-LN(K218)</f>
        <v>1.88387475813586</v>
      </c>
      <c r="P218" s="7" t="n">
        <f aca="false">-LN(L218)</f>
        <v>1.75851813544825</v>
      </c>
      <c r="Q218" s="7" t="n">
        <f aca="false">LN(E218)</f>
        <v>3.09104245335832</v>
      </c>
      <c r="R218" s="4" t="n">
        <v>2</v>
      </c>
      <c r="S218" s="4" t="n">
        <v>2</v>
      </c>
    </row>
    <row r="219" customFormat="false" ht="15" hidden="false" customHeight="false" outlineLevel="0" collapsed="false">
      <c r="A219" s="4" t="n">
        <v>2026</v>
      </c>
      <c r="B219" s="4" t="n">
        <v>4</v>
      </c>
      <c r="C219" s="4" t="s">
        <v>140</v>
      </c>
      <c r="D219" s="4" t="s">
        <v>144</v>
      </c>
      <c r="E219" s="4" t="n">
        <v>22</v>
      </c>
      <c r="F219" s="4" t="s">
        <v>142</v>
      </c>
      <c r="G219" s="8" t="n">
        <v>0.2375</v>
      </c>
      <c r="H219" s="4" t="s">
        <v>142</v>
      </c>
      <c r="I219" s="8" t="n">
        <v>0.2994</v>
      </c>
      <c r="J219" s="4" t="s">
        <v>147</v>
      </c>
      <c r="K219" s="8" t="n">
        <v>0.1828</v>
      </c>
      <c r="L219" s="8" t="n">
        <v>0.2082</v>
      </c>
      <c r="M219" s="4" t="n">
        <f aca="false">IF(F219=J219,1,0)</f>
        <v>0</v>
      </c>
      <c r="N219" s="4" t="n">
        <f aca="false">IF(H219=J219,1,0)</f>
        <v>0</v>
      </c>
      <c r="O219" s="7" t="n">
        <f aca="false">-LN(K219)</f>
        <v>1.69936261996209</v>
      </c>
      <c r="P219" s="7" t="n">
        <f aca="false">-LN(L219)</f>
        <v>1.56925612280127</v>
      </c>
      <c r="Q219" s="7" t="n">
        <f aca="false">LN(E219)</f>
        <v>3.09104245335832</v>
      </c>
      <c r="R219" s="4" t="n">
        <v>1</v>
      </c>
      <c r="S219" s="4" t="n">
        <v>1</v>
      </c>
    </row>
    <row r="220" customFormat="false" ht="15" hidden="false" customHeight="false" outlineLevel="0" collapsed="false">
      <c r="A220" s="4" t="n">
        <v>2026</v>
      </c>
      <c r="B220" s="4" t="n">
        <v>5</v>
      </c>
      <c r="C220" s="4" t="s">
        <v>102</v>
      </c>
      <c r="D220" s="4" t="s">
        <v>144</v>
      </c>
      <c r="E220" s="4" t="n">
        <v>22</v>
      </c>
      <c r="F220" s="4" t="s">
        <v>142</v>
      </c>
      <c r="G220" s="8" t="n">
        <v>0.2391</v>
      </c>
      <c r="H220" s="4" t="s">
        <v>142</v>
      </c>
      <c r="I220" s="8" t="n">
        <v>0.2947</v>
      </c>
      <c r="J220" s="4" t="s">
        <v>147</v>
      </c>
      <c r="K220" s="8" t="n">
        <v>0.2022</v>
      </c>
      <c r="L220" s="8" t="n">
        <v>0.2335</v>
      </c>
      <c r="M220" s="4" t="n">
        <f aca="false">IF(F220=J220,1,0)</f>
        <v>0</v>
      </c>
      <c r="N220" s="4" t="n">
        <f aca="false">IF(H220=J220,1,0)</f>
        <v>0</v>
      </c>
      <c r="O220" s="7" t="n">
        <f aca="false">-LN(K220)</f>
        <v>1.59849797239577</v>
      </c>
      <c r="P220" s="7" t="n">
        <f aca="false">-LN(L220)</f>
        <v>1.45457320187319</v>
      </c>
      <c r="Q220" s="7" t="n">
        <f aca="false">LN(E220)</f>
        <v>3.09104245335832</v>
      </c>
      <c r="R220" s="4" t="n">
        <v>1</v>
      </c>
      <c r="S220" s="4" t="n">
        <v>1</v>
      </c>
    </row>
    <row r="221" customFormat="false" ht="15" hidden="false" customHeight="false" outlineLevel="0" collapsed="false">
      <c r="A221" s="4" t="n">
        <v>2026</v>
      </c>
      <c r="B221" s="4" t="n">
        <v>6</v>
      </c>
      <c r="C221" s="4" t="s">
        <v>101</v>
      </c>
      <c r="D221" s="4" t="s">
        <v>144</v>
      </c>
      <c r="E221" s="4" t="n">
        <v>22</v>
      </c>
      <c r="F221" s="4" t="s">
        <v>147</v>
      </c>
      <c r="G221" s="8" t="n">
        <v>0.2139</v>
      </c>
      <c r="H221" s="4" t="s">
        <v>147</v>
      </c>
      <c r="I221" s="8" t="n">
        <v>0.2538</v>
      </c>
      <c r="J221" s="4" t="s">
        <v>147</v>
      </c>
      <c r="K221" s="8" t="n">
        <v>0.2139</v>
      </c>
      <c r="L221" s="8" t="n">
        <v>0.2538</v>
      </c>
      <c r="M221" s="4" t="n">
        <f aca="false">IF(F221=J221,1,0)</f>
        <v>1</v>
      </c>
      <c r="N221" s="4" t="n">
        <f aca="false">IF(H221=J221,1,0)</f>
        <v>1</v>
      </c>
      <c r="O221" s="7" t="n">
        <f aca="false">-LN(K221)</f>
        <v>1.54224666289378</v>
      </c>
      <c r="P221" s="7" t="n">
        <f aca="false">-LN(L221)</f>
        <v>1.37120872370185</v>
      </c>
      <c r="Q221" s="7" t="n">
        <f aca="false">LN(E221)</f>
        <v>3.09104245335832</v>
      </c>
      <c r="R221" s="4" t="n">
        <v>1</v>
      </c>
      <c r="S221" s="4" t="n">
        <v>1</v>
      </c>
    </row>
    <row r="222" customFormat="false" ht="15" hidden="false" customHeight="false" outlineLevel="0" collapsed="false">
      <c r="A222" s="4" t="n">
        <v>2026</v>
      </c>
      <c r="B222" s="4" t="n">
        <v>7</v>
      </c>
      <c r="C222" s="4" t="s">
        <v>148</v>
      </c>
      <c r="D222" s="4" t="s">
        <v>144</v>
      </c>
      <c r="E222" s="4" t="n">
        <v>22</v>
      </c>
      <c r="F222" s="4" t="s">
        <v>147</v>
      </c>
      <c r="G222" s="8" t="n">
        <v>0.2275</v>
      </c>
      <c r="H222" s="4" t="s">
        <v>147</v>
      </c>
      <c r="I222" s="8" t="n">
        <v>0.2801</v>
      </c>
      <c r="J222" s="4" t="s">
        <v>94</v>
      </c>
      <c r="K222" s="8" t="n">
        <v>0.0965</v>
      </c>
      <c r="L222" s="8" t="n">
        <v>0.102</v>
      </c>
      <c r="M222" s="4" t="n">
        <f aca="false">IF(F222=J222,1,0)</f>
        <v>0</v>
      </c>
      <c r="N222" s="4" t="n">
        <f aca="false">IF(H222=J222,1,0)</f>
        <v>0</v>
      </c>
      <c r="O222" s="7" t="n">
        <f aca="false">-LN(K222)</f>
        <v>2.3382122706372</v>
      </c>
      <c r="P222" s="7" t="n">
        <f aca="false">-LN(L222)</f>
        <v>2.28278246569787</v>
      </c>
      <c r="Q222" s="7" t="n">
        <f aca="false">LN(E222)</f>
        <v>3.09104245335832</v>
      </c>
      <c r="R222" s="4" t="n">
        <v>2</v>
      </c>
      <c r="S222" s="4" t="n">
        <v>2</v>
      </c>
    </row>
    <row r="223" customFormat="false" ht="15" hidden="false" customHeight="false" outlineLevel="0" collapsed="false">
      <c r="A223" s="4" t="n">
        <v>2026</v>
      </c>
      <c r="B223" s="4" t="n">
        <v>8</v>
      </c>
      <c r="C223" s="4" t="s">
        <v>104</v>
      </c>
      <c r="D223" s="4" t="s">
        <v>144</v>
      </c>
      <c r="E223" s="4" t="n">
        <v>22</v>
      </c>
      <c r="F223" s="4" t="s">
        <v>147</v>
      </c>
      <c r="G223" s="8" t="n">
        <v>0.1924</v>
      </c>
      <c r="H223" s="4" t="s">
        <v>147</v>
      </c>
      <c r="I223" s="8" t="n">
        <v>0.2259</v>
      </c>
      <c r="J223" s="4" t="s">
        <v>142</v>
      </c>
      <c r="K223" s="8" t="n">
        <v>0.1739</v>
      </c>
      <c r="L223" s="8" t="n">
        <v>0.1964</v>
      </c>
      <c r="M223" s="4" t="n">
        <f aca="false">IF(F223=J223,1,0)</f>
        <v>0</v>
      </c>
      <c r="N223" s="4" t="n">
        <f aca="false">IF(H223=J223,1,0)</f>
        <v>0</v>
      </c>
      <c r="O223" s="7" t="n">
        <f aca="false">-LN(K223)</f>
        <v>1.7492748576219</v>
      </c>
      <c r="P223" s="7" t="n">
        <f aca="false">-LN(L223)</f>
        <v>1.62760188306177</v>
      </c>
      <c r="Q223" s="7" t="n">
        <f aca="false">LN(E223)</f>
        <v>3.09104245335832</v>
      </c>
      <c r="R223" s="4" t="n">
        <v>2</v>
      </c>
      <c r="S223" s="4" t="n">
        <v>2</v>
      </c>
    </row>
    <row r="224" customFormat="false" ht="15" hidden="false" customHeight="false" outlineLevel="0" collapsed="false">
      <c r="A224" s="4" t="n">
        <v>2026</v>
      </c>
      <c r="B224" s="4" t="n">
        <v>9</v>
      </c>
      <c r="C224" s="4" t="s">
        <v>105</v>
      </c>
      <c r="D224" s="4" t="s">
        <v>144</v>
      </c>
      <c r="E224" s="4" t="n">
        <v>22</v>
      </c>
      <c r="F224" s="4" t="s">
        <v>147</v>
      </c>
      <c r="G224" s="8" t="n">
        <v>0.1852</v>
      </c>
      <c r="H224" s="4" t="s">
        <v>147</v>
      </c>
      <c r="I224" s="8" t="n">
        <v>0.2187</v>
      </c>
      <c r="J224" s="4" t="s">
        <v>123</v>
      </c>
      <c r="K224" s="8" t="n">
        <v>0.0796</v>
      </c>
      <c r="L224" s="8" t="n">
        <v>0.0777</v>
      </c>
      <c r="M224" s="4" t="n">
        <f aca="false">IF(F224=J224,1,0)</f>
        <v>0</v>
      </c>
      <c r="N224" s="4" t="n">
        <f aca="false">IF(H224=J224,1,0)</f>
        <v>0</v>
      </c>
      <c r="O224" s="7" t="n">
        <f aca="false">-LN(K224)</f>
        <v>2.5307411861318</v>
      </c>
      <c r="P224" s="7" t="n">
        <f aca="false">-LN(L224)</f>
        <v>2.55490002160854</v>
      </c>
      <c r="Q224" s="7" t="n">
        <f aca="false">LN(E224)</f>
        <v>3.09104245335832</v>
      </c>
      <c r="R224" s="4" t="n">
        <v>2</v>
      </c>
      <c r="S224" s="4" t="n">
        <v>2</v>
      </c>
    </row>
    <row r="225" customFormat="false" ht="15" hidden="false" customHeight="false" outlineLevel="0" collapsed="false">
      <c r="A225" s="4" t="n">
        <v>2026</v>
      </c>
      <c r="B225" s="4" t="n">
        <v>10</v>
      </c>
      <c r="C225" s="4" t="s">
        <v>108</v>
      </c>
      <c r="D225" s="4" t="s">
        <v>144</v>
      </c>
      <c r="E225" s="4" t="n">
        <v>22</v>
      </c>
      <c r="F225" s="4" t="s">
        <v>142</v>
      </c>
      <c r="G225" s="8" t="n">
        <v>0.1776</v>
      </c>
      <c r="H225" s="4" t="s">
        <v>142</v>
      </c>
      <c r="I225" s="8" t="n">
        <v>0.207</v>
      </c>
      <c r="J225" s="4" t="s">
        <v>147</v>
      </c>
      <c r="K225" s="8" t="n">
        <v>0.1622</v>
      </c>
      <c r="L225" s="8" t="n">
        <v>0.1826</v>
      </c>
      <c r="M225" s="4" t="n">
        <f aca="false">IF(F225=J225,1,0)</f>
        <v>0</v>
      </c>
      <c r="N225" s="4" t="n">
        <f aca="false">IF(H225=J225,1,0)</f>
        <v>0</v>
      </c>
      <c r="O225" s="7" t="n">
        <f aca="false">-LN(K225)</f>
        <v>1.81892513730082</v>
      </c>
      <c r="P225" s="7" t="n">
        <f aca="false">-LN(L225)</f>
        <v>1.70045731082127</v>
      </c>
      <c r="Q225" s="7" t="n">
        <f aca="false">LN(E225)</f>
        <v>3.09104245335832</v>
      </c>
      <c r="R225" s="4" t="n">
        <v>1</v>
      </c>
      <c r="S225" s="4" t="n">
        <v>1</v>
      </c>
    </row>
    <row r="226" customFormat="false" ht="15" hidden="false" customHeight="false" outlineLevel="0" collapsed="false">
      <c r="A226" s="4" t="n">
        <v>2026</v>
      </c>
      <c r="B226" s="4" t="n">
        <v>11</v>
      </c>
      <c r="C226" s="4" t="s">
        <v>106</v>
      </c>
      <c r="D226" s="4" t="s">
        <v>144</v>
      </c>
      <c r="E226" s="4" t="n">
        <v>22</v>
      </c>
      <c r="F226" s="4" t="s">
        <v>147</v>
      </c>
      <c r="G226" s="8" t="n">
        <v>0.1684</v>
      </c>
      <c r="H226" s="4" t="s">
        <v>147</v>
      </c>
      <c r="I226" s="8" t="n">
        <v>0.1957</v>
      </c>
      <c r="J226" s="4" t="s">
        <v>145</v>
      </c>
      <c r="K226" s="8" t="n">
        <v>0.0649</v>
      </c>
      <c r="L226" s="8" t="n">
        <v>0.0653</v>
      </c>
      <c r="M226" s="4" t="n">
        <f aca="false">IF(F226=J226,1,0)</f>
        <v>0</v>
      </c>
      <c r="N226" s="4" t="n">
        <f aca="false">IF(H226=J226,1,0)</f>
        <v>0</v>
      </c>
      <c r="O226" s="7" t="n">
        <f aca="false">-LN(K226)</f>
        <v>2.73490765527209</v>
      </c>
      <c r="P226" s="7" t="n">
        <f aca="false">-LN(L226)</f>
        <v>2.72876324269975</v>
      </c>
      <c r="Q226" s="7" t="n">
        <f aca="false">LN(E226)</f>
        <v>3.09104245335832</v>
      </c>
      <c r="R226" s="4" t="n">
        <v>1</v>
      </c>
      <c r="S226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2026-10-02T15:28:08Z</dcterms:created>
  <dc:creator>openpyxl</dc:creator>
  <dc:description/>
  <dc:language>en-US</dc:language>
  <cp:lastModifiedBy/>
  <dcterms:modified xsi:type="dcterms:W3CDTF">2026-10-02T15:28:08Z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