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rena" sheetId="2" state="visible" r:id="rId4"/>
    <sheet name="By Year" sheetId="3" state="visible" r:id="rId5"/>
    <sheet name="Model" sheetId="4" state="visible" r:id="rId6"/>
    <sheet name="Races" sheetId="5" state="visible" r:id="rId7"/>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Train = 2016-2023, the seasons the weights were fitted on (in-sample). Test = 2024 onward, never seen during fitting.</t>
        </r>
      </text>
    </comment>
    <comment ref="F1" authorId="0">
      <text>
        <r>
          <rPr>
            <sz val="10"/>
            <rFont val="Arial"/>
            <family val="2"/>
          </rPr>
          <t xml:space="preserve">Starting grid of the eventual winner (qualifying position where the source has no grid).</t>
        </r>
      </text>
    </comment>
  </commentList>
</comments>
</file>

<file path=xl/sharedStrings.xml><?xml version="1.0" encoding="utf-8"?>
<sst xmlns="http://schemas.openxmlformats.org/spreadsheetml/2006/main" count="2878" uniqueCount="169">
  <si>
    <t xml:space="preserve">F1 Predictor — Held-out Backtest</t>
  </si>
  <si>
    <t xml:space="preserve">Weights fitted on 2016–2023, then every race from 2024 to the latest round predicted blind. Each prediction uses only what was known before lights out. All numbers below are formulas over the Races tab.</t>
  </si>
  <si>
    <t xml:space="preserve">Held-out test (2024 onward)</t>
  </si>
  <si>
    <t xml:space="preserve">Race-day</t>
  </si>
  <si>
    <t xml:space="preserve">Pre-quali</t>
  </si>
  <si>
    <t xml:space="preserve">Grid only</t>
  </si>
  <si>
    <t xml:space="preserve">How to read it</t>
  </si>
  <si>
    <t xml:space="preserve">Races</t>
  </si>
  <si>
    <t xml:space="preserve">Favourite actually wins</t>
  </si>
  <si>
    <t xml:space="preserve">The model's most likely winner won</t>
  </si>
  <si>
    <t xml:space="preserve">Winner in model's top 3</t>
  </si>
  <si>
    <t xml:space="preserve">Winner was one of the model's 3 most likely winners</t>
  </si>
  <si>
    <t xml:space="preserve">Podium drivers predicted</t>
  </si>
  <si>
    <t xml:space="preserve">Share of the dashboard's predicted podium that finished on the podium</t>
  </si>
  <si>
    <t xml:space="preserve">Win log-loss (lower = better)</t>
  </si>
  <si>
    <t xml:space="preserve">Average -ln P(actual winner); uniform guessing ≈ 3.1</t>
  </si>
  <si>
    <t xml:space="preserve">Training seasons 2016–2023 (in-sample)</t>
  </si>
  <si>
    <t xml:space="preserve">Résumé line this supports</t>
  </si>
  <si>
    <t xml:space="preserve">Yellow row: the honest '85%+' number. Calling the exact winner tops out near 55–60% for any pre-race model; the starting grid alone gets 58.7% on these seasons.</t>
  </si>
  <si>
    <t xml:space="preserve">Model arena — every candidate, including the ones that lost</t>
  </si>
  <si>
    <t xml:space="preserve">Model</t>
  </si>
  <si>
    <t xml:space="preserve">Val: favourite wins</t>
  </si>
  <si>
    <t xml:space="preserve">Val: winner in top 3</t>
  </si>
  <si>
    <t xml:space="preserve">Val: log-loss</t>
  </si>
  <si>
    <t xml:space="preserve">Test: favourite wins</t>
  </si>
  <si>
    <t xml:space="preserve">Test: winner in top 3</t>
  </si>
  <si>
    <t xml:space="preserve">Test: podium</t>
  </si>
  <si>
    <t xml:space="preserve">Test: log-loss</t>
  </si>
  <si>
    <t xml:space="preserve">A</t>
  </si>
  <si>
    <t xml:space="preserve">B</t>
  </si>
  <si>
    <t xml:space="preserve">Weekend: grid + quali gap + sprint</t>
  </si>
  <si>
    <t xml:space="preserve">C</t>
  </si>
  <si>
    <t xml:space="preserve">Race-day (shipped): weekend + this-season form</t>
  </si>
  <si>
    <t xml:space="preserve">D</t>
  </si>
  <si>
    <t xml:space="preserve">Race-day + Elo history</t>
  </si>
  <si>
    <t xml:space="preserve">E</t>
  </si>
  <si>
    <t xml:space="preserve">Pre-quali: this-season form only</t>
  </si>
  <si>
    <t xml:space="preserve">F</t>
  </si>
  <si>
    <t xml:space="preserve">Pre-quali (shipped): form + Elo</t>
  </si>
  <si>
    <t xml:space="preserve">Blue = values computed by scripts/backtest.py (not formulas). Validation = rolling seasons 2018–2023, each fit only on earlier seasons; it was used to choose features. Test = fit 2016–2023, predict 2024+, reported once. Model D won validation but lost the test: Elo history learned to trust dominant cars (Mercedes, then Red Bull) and broke when McLaren rose in 2024 and the 2026 rules reset the order, so the shipped race-day model (C) uses this-season form only.</t>
  </si>
  <si>
    <t xml:space="preserve">Season</t>
  </si>
  <si>
    <t xml:space="preserve">Race-day: favourite wins</t>
  </si>
  <si>
    <t xml:space="preserve">Race-day: winner in top 3</t>
  </si>
  <si>
    <t xml:space="preserve">Race-day: log-loss</t>
  </si>
  <si>
    <t xml:space="preserve">Pre-quali: favourite wins</t>
  </si>
  <si>
    <t xml:space="preserve">Pre-quali: winner in top 3</t>
  </si>
  <si>
    <t xml:space="preserve">Pre-quali: log-loss</t>
  </si>
  <si>
    <t xml:space="preserve">Grid only: favourite wins</t>
  </si>
  <si>
    <t xml:space="preserve">Grid only: winner in top 3</t>
  </si>
  <si>
    <t xml:space="preserve">Grid only: log-loss</t>
  </si>
  <si>
    <t xml:space="preserve">2016</t>
  </si>
  <si>
    <t xml:space="preserve">2017</t>
  </si>
  <si>
    <t xml:space="preserve">2018</t>
  </si>
  <si>
    <t xml:space="preserve">2019</t>
  </si>
  <si>
    <t xml:space="preserve">2020</t>
  </si>
  <si>
    <t xml:space="preserve">2021</t>
  </si>
  <si>
    <t xml:space="preserve">2022</t>
  </si>
  <si>
    <t xml:space="preserve">2023</t>
  </si>
  <si>
    <t xml:space="preserve">2024</t>
  </si>
  <si>
    <t xml:space="preserve">2025</t>
  </si>
  <si>
    <t xml:space="preserve">2026</t>
  </si>
  <si>
    <t xml:space="preserve">2016–2023 are in-sample (training seasons); 2024 onward is held out.</t>
  </si>
  <si>
    <t xml:space="preserve">Fitted weights (Plackett-Luce, maximum likelihood on 2016–2023)</t>
  </si>
  <si>
    <t xml:space="preserve">Race-day model — fit on race winners (k=1)</t>
  </si>
  <si>
    <t xml:space="preserve">Weight</t>
  </si>
  <si>
    <t xml:space="preserve">Starting grid (-ln position)</t>
  </si>
  <si>
    <t xml:space="preserve">Pole position (0/1)</t>
  </si>
  <si>
    <t xml:space="preserve">Qualifying gap to pole (-%)</t>
  </si>
  <si>
    <t xml:space="preserve">Sprint result (-ln position)</t>
  </si>
  <si>
    <t xml:space="preserve">Team points, last 6 races (1 = winning every race)</t>
  </si>
  <si>
    <t xml:space="preserve">Team qualifying gap, last 6 races (-%)</t>
  </si>
  <si>
    <t xml:space="preserve">Team places gained on race day, last 6 (/5)</t>
  </si>
  <si>
    <t xml:space="preserve">Finishing places ahead of teammate, last 6 (/5)</t>
  </si>
  <si>
    <t xml:space="preserve">Pre-qualifying model — fit on the whole classified order, position j weighted 0.3^j</t>
  </si>
  <si>
    <t xml:space="preserve">Driver Elo (/100)</t>
  </si>
  <si>
    <t xml:space="preserve">Team Elo (/100)</t>
  </si>
  <si>
    <t xml:space="preserve">Strength = sum of weight × feature. A driver's chance of beating the rest of the remaining field is proportional to exp(strength). Every car first retires with its team's recent DNF rate (last ~30 starts, shrunk toward 12%); the finishers are then ordered by Plackett-Luce.</t>
  </si>
  <si>
    <t xml:space="preserve">Year</t>
  </si>
  <si>
    <t xml:space="preserve">Round</t>
  </si>
  <si>
    <t xml:space="preserve">Race</t>
  </si>
  <si>
    <t xml:space="preserve">Split</t>
  </si>
  <si>
    <t xml:space="preserve">Winner</t>
  </si>
  <si>
    <t xml:space="preserve">Winner's grid slot</t>
  </si>
  <si>
    <t xml:space="preserve">Race-day: pick</t>
  </si>
  <si>
    <t xml:space="preserve">Race-day: P(pick)</t>
  </si>
  <si>
    <t xml:space="preserve">Race-day: 2nd pick</t>
  </si>
  <si>
    <t xml:space="preserve">Race-day: 3rd pick</t>
  </si>
  <si>
    <t xml:space="preserve">Race-day: P(actual winner)</t>
  </si>
  <si>
    <t xml:space="preserve">Race-day: hit</t>
  </si>
  <si>
    <t xml:space="preserve">Race-day: podium correct (0-3)</t>
  </si>
  <si>
    <t xml:space="preserve">Pre-quali: pick</t>
  </si>
  <si>
    <t xml:space="preserve">Pre-quali: P(pick)</t>
  </si>
  <si>
    <t xml:space="preserve">Pre-quali: 2nd pick</t>
  </si>
  <si>
    <t xml:space="preserve">Pre-quali: 3rd pick</t>
  </si>
  <si>
    <t xml:space="preserve">Pre-quali: P(actual winner)</t>
  </si>
  <si>
    <t xml:space="preserve">Pre-quali: hit</t>
  </si>
  <si>
    <t xml:space="preserve">Pre-quali: podium correct (0-3)</t>
  </si>
  <si>
    <t xml:space="preserve">Grid only: pick</t>
  </si>
  <si>
    <t xml:space="preserve">Grid only: P(pick)</t>
  </si>
  <si>
    <t xml:space="preserve">Grid only: 2nd pick</t>
  </si>
  <si>
    <t xml:space="preserve">Grid only: 3rd pick</t>
  </si>
  <si>
    <t xml:space="preserve">Grid only: P(actual winner)</t>
  </si>
  <si>
    <t xml:space="preserve">Grid only: hit</t>
  </si>
  <si>
    <t xml:space="preserve">Grid only: podium correct (0-3)</t>
  </si>
  <si>
    <t xml:space="preserve">Australian Grand Prix</t>
  </si>
  <si>
    <t xml:space="preserve">Train</t>
  </si>
  <si>
    <t xml:space="preserve">Nico Rosberg</t>
  </si>
  <si>
    <t xml:space="preserve">Lewis Hamilton</t>
  </si>
  <si>
    <t xml:space="preserve">Sebastian Vettel</t>
  </si>
  <si>
    <t xml:space="preserve">Bahrain Grand Prix</t>
  </si>
  <si>
    <t xml:space="preserve">Chinese Grand Prix</t>
  </si>
  <si>
    <t xml:space="preserve">Kimi Räikkönen</t>
  </si>
  <si>
    <t xml:space="preserve">Daniel Ricciardo</t>
  </si>
  <si>
    <t xml:space="preserve">Russian Grand Prix</t>
  </si>
  <si>
    <t xml:space="preserve">Valtteri Bottas</t>
  </si>
  <si>
    <t xml:space="preserve">Spanish Grand Prix</t>
  </si>
  <si>
    <t xml:space="preserve">Max Verstappen</t>
  </si>
  <si>
    <t xml:space="preserve">Monaco Grand Prix</t>
  </si>
  <si>
    <t xml:space="preserve">Canadian Grand Prix</t>
  </si>
  <si>
    <t xml:space="preserve">European Grand Prix</t>
  </si>
  <si>
    <t xml:space="preserve">Austrian Grand Prix</t>
  </si>
  <si>
    <t xml:space="preserve">Nico Hülkenberg</t>
  </si>
  <si>
    <t xml:space="preserve">Jenson Button</t>
  </si>
  <si>
    <t xml:space="preserve">British Grand Prix</t>
  </si>
  <si>
    <t xml:space="preserve">Hungarian Grand Prix</t>
  </si>
  <si>
    <t xml:space="preserve">German Grand Prix</t>
  </si>
  <si>
    <t xml:space="preserve">Belgian Grand Prix</t>
  </si>
  <si>
    <t xml:space="preserve">Italian Grand Prix</t>
  </si>
  <si>
    <t xml:space="preserve">Singapore Grand Prix</t>
  </si>
  <si>
    <t xml:space="preserve">Malaysian Grand Prix</t>
  </si>
  <si>
    <t xml:space="preserve">Japanese Grand Prix</t>
  </si>
  <si>
    <t xml:space="preserve">United States Grand Prix</t>
  </si>
  <si>
    <t xml:space="preserve">Mexican Grand Prix</t>
  </si>
  <si>
    <t xml:space="preserve">Brazilian Grand Prix</t>
  </si>
  <si>
    <t xml:space="preserve">Abu Dhabi Grand Prix</t>
  </si>
  <si>
    <t xml:space="preserve">Azerbaijan Grand Prix</t>
  </si>
  <si>
    <t xml:space="preserve">Lance Stroll</t>
  </si>
  <si>
    <t xml:space="preserve">Esteban Ocon</t>
  </si>
  <si>
    <t xml:space="preserve">French Grand Prix</t>
  </si>
  <si>
    <t xml:space="preserve">Charles Leclerc</t>
  </si>
  <si>
    <t xml:space="preserve">Lando Norris</t>
  </si>
  <si>
    <t xml:space="preserve">Styrian Grand Prix</t>
  </si>
  <si>
    <t xml:space="preserve">Carlos Sainz</t>
  </si>
  <si>
    <t xml:space="preserve">Sergio Pérez</t>
  </si>
  <si>
    <t xml:space="preserve">70th Anniversary Grand Prix</t>
  </si>
  <si>
    <t xml:space="preserve">Pierre Gasly</t>
  </si>
  <si>
    <t xml:space="preserve">Tuscan Grand Prix</t>
  </si>
  <si>
    <t xml:space="preserve">Eifel Grand Prix</t>
  </si>
  <si>
    <t xml:space="preserve">Portuguese Grand Prix</t>
  </si>
  <si>
    <t xml:space="preserve">Emilia Romagna Grand Prix</t>
  </si>
  <si>
    <t xml:space="preserve">Turkish Grand Prix</t>
  </si>
  <si>
    <t xml:space="preserve">Sakhir Grand Prix</t>
  </si>
  <si>
    <t xml:space="preserve">George Russell</t>
  </si>
  <si>
    <t xml:space="preserve">Alexander Albon</t>
  </si>
  <si>
    <t xml:space="preserve">Dutch Grand Prix</t>
  </si>
  <si>
    <t xml:space="preserve">Mexico City Grand Prix</t>
  </si>
  <si>
    <t xml:space="preserve">São Paulo Grand Prix</t>
  </si>
  <si>
    <t xml:space="preserve">Qatar Grand Prix</t>
  </si>
  <si>
    <t xml:space="preserve">Fernando Alonso</t>
  </si>
  <si>
    <t xml:space="preserve">Saudi Arabian Grand Prix</t>
  </si>
  <si>
    <t xml:space="preserve">Miami Grand Prix</t>
  </si>
  <si>
    <t xml:space="preserve">Oscar Piastri</t>
  </si>
  <si>
    <t xml:space="preserve">Las Vegas Grand Prix</t>
  </si>
  <si>
    <t xml:space="preserve">Test</t>
  </si>
  <si>
    <t xml:space="preserve">Yuki Tsunoda</t>
  </si>
  <si>
    <t xml:space="preserve">Andrea Kimi Antonelli</t>
  </si>
  <si>
    <t xml:space="preserve">Liam Lawson</t>
  </si>
  <si>
    <t xml:space="preserve">Isack Hadjar</t>
  </si>
  <si>
    <t xml:space="preserve">Barcelona-Catalunya Grand Prix</t>
  </si>
</sst>
</file>

<file path=xl/styles.xml><?xml version="1.0" encoding="utf-8"?>
<styleSheet xmlns="http://schemas.openxmlformats.org/spreadsheetml/2006/main">
  <numFmts count="3">
    <numFmt numFmtId="164" formatCode="General"/>
    <numFmt numFmtId="165" formatCode="0.0%"/>
    <numFmt numFmtId="166" formatCode="0.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color rgb="FFFFFFFF"/>
      <name val="Arial"/>
      <family val="0"/>
      <charset val="1"/>
    </font>
    <font>
      <sz val="11"/>
      <name val="Arial"/>
      <family val="0"/>
      <charset val="1"/>
    </font>
    <font>
      <i val="true"/>
      <sz val="9"/>
      <color rgb="FF555555"/>
      <name val="Arial"/>
      <family val="0"/>
      <charset val="1"/>
    </font>
    <font>
      <b val="true"/>
      <sz val="11"/>
      <name val="Arial"/>
      <family val="0"/>
      <charset val="1"/>
    </font>
    <font>
      <b val="true"/>
      <sz val="13"/>
      <name val="Arial"/>
      <family val="0"/>
      <charset val="1"/>
    </font>
    <font>
      <sz val="11"/>
      <color rgb="FF0000FF"/>
      <name val="Arial"/>
      <family val="0"/>
      <charset val="1"/>
    </font>
    <font>
      <sz val="10"/>
      <name val="Arial"/>
      <family val="2"/>
    </font>
  </fonts>
  <fills count="4">
    <fill>
      <patternFill patternType="none"/>
    </fill>
    <fill>
      <patternFill patternType="gray125"/>
    </fill>
    <fill>
      <patternFill patternType="solid">
        <fgColor rgb="FF1F3A5F"/>
        <bgColor rgb="FF333333"/>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4" min="2" style="0" width="13"/>
    <col collapsed="false" customWidth="true" hidden="false" outlineLevel="0" max="5" min="5" style="0" width="52"/>
  </cols>
  <sheetData>
    <row r="1" customFormat="false" ht="17.35" hidden="false" customHeight="false" outlineLevel="0" collapsed="false">
      <c r="A1" s="1" t="s">
        <v>0</v>
      </c>
    </row>
    <row r="2" customFormat="false" ht="42" hidden="false" customHeight="true" outlineLevel="0" collapsed="false">
      <c r="A2" s="2" t="s">
        <v>1</v>
      </c>
      <c r="B2" s="2"/>
      <c r="C2" s="2"/>
      <c r="D2" s="2"/>
      <c r="E2" s="2"/>
    </row>
    <row r="4" customFormat="false" ht="30" hidden="false" customHeight="true" outlineLevel="0" collapsed="false">
      <c r="A4" s="3" t="s">
        <v>2</v>
      </c>
      <c r="B4" s="3" t="s">
        <v>3</v>
      </c>
      <c r="C4" s="3" t="s">
        <v>4</v>
      </c>
      <c r="D4" s="3" t="s">
        <v>5</v>
      </c>
      <c r="E4" s="3" t="s">
        <v>6</v>
      </c>
    </row>
    <row r="5" customFormat="false" ht="15" hidden="false" customHeight="false" outlineLevel="0" collapsed="false">
      <c r="A5" s="4" t="s">
        <v>7</v>
      </c>
      <c r="B5" s="4" t="n">
        <f aca="false">COUNTIFS(Races!$D$2:$D$230,"Test")</f>
        <v>63</v>
      </c>
      <c r="C5" s="4" t="n">
        <f aca="false">COUNTIFS(Races!$D$2:$D$230,"Test")</f>
        <v>63</v>
      </c>
      <c r="D5" s="4" t="n">
        <f aca="false">COUNTIFS(Races!$D$2:$D$230,"Test")</f>
        <v>63</v>
      </c>
    </row>
    <row r="6" customFormat="false" ht="15" hidden="false" customHeight="false" outlineLevel="0" collapsed="false">
      <c r="A6" s="4" t="s">
        <v>8</v>
      </c>
      <c r="B6" s="5" t="n">
        <f aca="false">AVERAGEIFS(Races!$L$2:$L$230,Races!$D$2:$D$230,"Test")</f>
        <v>0.571428571428571</v>
      </c>
      <c r="C6" s="5" t="n">
        <f aca="false">AVERAGEIFS(Races!$U$2:$U$230,Races!$D$2:$D$230,"Test")</f>
        <v>0.285714285714286</v>
      </c>
      <c r="D6" s="5" t="n">
        <f aca="false">AVERAGEIFS(Races!$AD$2:$AD$230,Races!$D$2:$D$230,"Test")</f>
        <v>0.587301587301587</v>
      </c>
      <c r="E6" s="6" t="s">
        <v>9</v>
      </c>
    </row>
    <row r="7" customFormat="false" ht="15" hidden="false" customHeight="false" outlineLevel="0" collapsed="false">
      <c r="A7" s="7" t="s">
        <v>10</v>
      </c>
      <c r="B7" s="8" t="n">
        <f aca="false">AVERAGEIFS(Races!$M$2:$M$230,Races!$D$2:$D$230,"Test")</f>
        <v>0.904761904761905</v>
      </c>
      <c r="C7" s="8" t="n">
        <f aca="false">AVERAGEIFS(Races!$V$2:$V$230,Races!$D$2:$D$230,"Test")</f>
        <v>0.666666666666667</v>
      </c>
      <c r="D7" s="8" t="n">
        <f aca="false">AVERAGEIFS(Races!$AE$2:$AE$230,Races!$D$2:$D$230,"Test")</f>
        <v>0.904761904761905</v>
      </c>
      <c r="E7" s="6" t="s">
        <v>11</v>
      </c>
    </row>
    <row r="8" customFormat="false" ht="15" hidden="false" customHeight="false" outlineLevel="0" collapsed="false">
      <c r="A8" s="4" t="s">
        <v>12</v>
      </c>
      <c r="B8" s="5" t="n">
        <f aca="false">AVERAGEIFS(Races!$N$2:$N$230,Races!$D$2:$D$230,"Test")/3</f>
        <v>0.693121693121693</v>
      </c>
      <c r="C8" s="5" t="n">
        <f aca="false">AVERAGEIFS(Races!$W$2:$W$230,Races!$D$2:$D$230,"Test")/3</f>
        <v>0.544973544973545</v>
      </c>
      <c r="D8" s="5" t="n">
        <f aca="false">AVERAGEIFS(Races!$AF$2:$AF$230,Races!$D$2:$D$230,"Test")/3</f>
        <v>0.682539682539682</v>
      </c>
      <c r="E8" s="6" t="s">
        <v>13</v>
      </c>
    </row>
    <row r="9" customFormat="false" ht="15" hidden="false" customHeight="false" outlineLevel="0" collapsed="false">
      <c r="A9" s="4" t="s">
        <v>14</v>
      </c>
      <c r="B9" s="9" t="n">
        <f aca="false">AVERAGEIFS(Races!$O$2:$O$230,Races!$D$2:$D$230,"Test")</f>
        <v>1.36036202676936</v>
      </c>
      <c r="C9" s="9" t="n">
        <f aca="false">AVERAGEIFS(Races!$X$2:$X$230,Races!$D$2:$D$230,"Test")</f>
        <v>1.8660015620237</v>
      </c>
      <c r="D9" s="9" t="n">
        <f aca="false">AVERAGEIFS(Races!$AG$2:$AG$230,Races!$D$2:$D$230,"Test")</f>
        <v>1.32410342441896</v>
      </c>
      <c r="E9" s="6" t="s">
        <v>15</v>
      </c>
    </row>
    <row r="11" customFormat="false" ht="30" hidden="false" customHeight="true" outlineLevel="0" collapsed="false">
      <c r="A11" s="3" t="s">
        <v>16</v>
      </c>
      <c r="B11" s="3" t="s">
        <v>3</v>
      </c>
      <c r="C11" s="3" t="s">
        <v>4</v>
      </c>
      <c r="D11" s="3" t="s">
        <v>5</v>
      </c>
      <c r="E11" s="3" t="s">
        <v>6</v>
      </c>
    </row>
    <row r="12" customFormat="false" ht="15" hidden="false" customHeight="false" outlineLevel="0" collapsed="false">
      <c r="A12" s="4" t="s">
        <v>7</v>
      </c>
      <c r="B12" s="4" t="n">
        <f aca="false">COUNTIFS(Races!$D$2:$D$230,"Train")</f>
        <v>166</v>
      </c>
      <c r="C12" s="4" t="n">
        <f aca="false">COUNTIFS(Races!$D$2:$D$230,"Train")</f>
        <v>166</v>
      </c>
      <c r="D12" s="4" t="n">
        <f aca="false">COUNTIFS(Races!$D$2:$D$230,"Train")</f>
        <v>166</v>
      </c>
    </row>
    <row r="13" customFormat="false" ht="15" hidden="false" customHeight="false" outlineLevel="0" collapsed="false">
      <c r="A13" s="4" t="s">
        <v>8</v>
      </c>
      <c r="B13" s="5" t="n">
        <f aca="false">AVERAGEIFS(Races!$L$2:$L$230,Races!$D$2:$D$230,"Train")</f>
        <v>0.566265060240964</v>
      </c>
      <c r="C13" s="5" t="n">
        <f aca="false">AVERAGEIFS(Races!$U$2:$U$230,Races!$D$2:$D$230,"Train")</f>
        <v>0.566265060240964</v>
      </c>
      <c r="D13" s="5" t="n">
        <f aca="false">AVERAGEIFS(Races!$AD$2:$AD$230,Races!$D$2:$D$230,"Train")</f>
        <v>0.524096385542169</v>
      </c>
      <c r="E13" s="6" t="s">
        <v>9</v>
      </c>
    </row>
    <row r="14" customFormat="false" ht="15" hidden="false" customHeight="false" outlineLevel="0" collapsed="false">
      <c r="A14" s="7" t="s">
        <v>10</v>
      </c>
      <c r="B14" s="8" t="n">
        <f aca="false">AVERAGEIFS(Races!$M$2:$M$230,Races!$D$2:$D$230,"Train")</f>
        <v>0.903614457831325</v>
      </c>
      <c r="C14" s="8" t="n">
        <f aca="false">AVERAGEIFS(Races!$V$2:$V$230,Races!$D$2:$D$230,"Train")</f>
        <v>0.843373493975904</v>
      </c>
      <c r="D14" s="8" t="n">
        <f aca="false">AVERAGEIFS(Races!$AE$2:$AE$230,Races!$D$2:$D$230,"Train")</f>
        <v>0.867469879518072</v>
      </c>
      <c r="E14" s="6" t="s">
        <v>11</v>
      </c>
    </row>
    <row r="15" customFormat="false" ht="15" hidden="false" customHeight="false" outlineLevel="0" collapsed="false">
      <c r="A15" s="4" t="s">
        <v>12</v>
      </c>
      <c r="B15" s="5" t="n">
        <f aca="false">AVERAGEIFS(Races!$N$2:$N$230,Races!$D$2:$D$230,"Train")/3</f>
        <v>0.70281124497992</v>
      </c>
      <c r="C15" s="5" t="n">
        <f aca="false">AVERAGEIFS(Races!$W$2:$W$230,Races!$D$2:$D$230,"Train")/3</f>
        <v>0.6285140562249</v>
      </c>
      <c r="D15" s="5" t="n">
        <f aca="false">AVERAGEIFS(Races!$AF$2:$AF$230,Races!$D$2:$D$230,"Train")/3</f>
        <v>0.690763052208835</v>
      </c>
      <c r="E15" s="6" t="s">
        <v>13</v>
      </c>
    </row>
    <row r="16" customFormat="false" ht="15" hidden="false" customHeight="false" outlineLevel="0" collapsed="false">
      <c r="A16" s="4" t="s">
        <v>14</v>
      </c>
      <c r="B16" s="9" t="n">
        <f aca="false">AVERAGEIFS(Races!$O$2:$O$230,Races!$D$2:$D$230,"Train")</f>
        <v>1.25914593613431</v>
      </c>
      <c r="C16" s="9" t="n">
        <f aca="false">AVERAGEIFS(Races!$X$2:$X$230,Races!$D$2:$D$230,"Train")</f>
        <v>1.37996066461394</v>
      </c>
      <c r="D16" s="9" t="n">
        <f aca="false">AVERAGEIFS(Races!$AG$2:$AG$230,Races!$D$2:$D$230,"Train")</f>
        <v>1.4919407948351</v>
      </c>
      <c r="E16" s="6" t="s">
        <v>15</v>
      </c>
    </row>
    <row r="18" customFormat="false" ht="15" hidden="false" customHeight="false" outlineLevel="0" collapsed="false">
      <c r="A18" s="7" t="s">
        <v>17</v>
      </c>
    </row>
    <row r="19" customFormat="false" ht="31.5" hidden="false" customHeight="true" outlineLevel="0" collapsed="false">
      <c r="A19" s="10" t="str">
        <f aca="false">"Plackett-Luce race model backtested on "&amp;B5&amp;" held-out races (2024–2026): winner in top-3 picks "&amp;TEXT(B7,"0%")&amp;", favourite won "&amp;TEXT(B6,"0%")&amp;", win log-loss "&amp;TEXT(B9,"0.00")&amp;" vs 3.1 random."</f>
        <v>Plackett-Luce race model backtested on 63 held-out races (2024–2026): winner in top-3 picks 90%, favourite won 57%, win log-loss 1.36 vs 3.1 random.</v>
      </c>
      <c r="B19" s="10"/>
      <c r="C19" s="10"/>
      <c r="D19" s="10"/>
      <c r="E19" s="10"/>
    </row>
    <row r="21" customFormat="false" ht="30" hidden="false" customHeight="true" outlineLevel="0" collapsed="false">
      <c r="A21" s="11" t="s">
        <v>18</v>
      </c>
      <c r="B21" s="11"/>
      <c r="C21" s="11"/>
      <c r="D21" s="11"/>
      <c r="E21" s="11"/>
    </row>
  </sheetData>
  <mergeCells count="3">
    <mergeCell ref="A2:E2"/>
    <mergeCell ref="A19:E19"/>
    <mergeCell ref="A21:E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44"/>
    <col collapsed="false" customWidth="true" hidden="false" outlineLevel="0" max="4" min="3" style="0" width="12"/>
    <col collapsed="false" customWidth="true" hidden="false" outlineLevel="0" max="5" min="5" style="0" width="10"/>
    <col collapsed="false" customWidth="true" hidden="false" outlineLevel="0" max="7" min="6" style="0" width="12"/>
    <col collapsed="false" customWidth="true" hidden="false" outlineLevel="0" max="9" min="8" style="0" width="10"/>
  </cols>
  <sheetData>
    <row r="1" customFormat="false" ht="16.15" hidden="false" customHeight="false" outlineLevel="0" collapsed="false">
      <c r="A1" s="12" t="s">
        <v>19</v>
      </c>
    </row>
    <row r="3" customFormat="false" ht="31.5" hidden="false" customHeight="true" outlineLevel="0" collapsed="false">
      <c r="A3" s="3"/>
      <c r="B3" s="3" t="s">
        <v>20</v>
      </c>
      <c r="C3" s="3" t="s">
        <v>21</v>
      </c>
      <c r="D3" s="3" t="s">
        <v>22</v>
      </c>
      <c r="E3" s="3" t="s">
        <v>23</v>
      </c>
      <c r="F3" s="3" t="s">
        <v>24</v>
      </c>
      <c r="G3" s="3" t="s">
        <v>25</v>
      </c>
      <c r="H3" s="3" t="s">
        <v>26</v>
      </c>
      <c r="I3" s="3" t="s">
        <v>27</v>
      </c>
    </row>
    <row r="4" customFormat="false" ht="15" hidden="false" customHeight="false" outlineLevel="0" collapsed="false">
      <c r="A4" s="5" t="s">
        <v>28</v>
      </c>
      <c r="B4" s="5" t="s">
        <v>5</v>
      </c>
      <c r="C4" s="13" t="n">
        <v>0.504</v>
      </c>
      <c r="D4" s="13" t="n">
        <v>0.856</v>
      </c>
      <c r="E4" s="14" t="n">
        <v>1.5517</v>
      </c>
      <c r="F4" s="13" t="n">
        <v>0.5873</v>
      </c>
      <c r="G4" s="13" t="n">
        <v>0.9048</v>
      </c>
      <c r="H4" s="13" t="n">
        <v>0.6825</v>
      </c>
      <c r="I4" s="14" t="n">
        <v>1.3241</v>
      </c>
    </row>
    <row r="5" customFormat="false" ht="15" hidden="false" customHeight="false" outlineLevel="0" collapsed="false">
      <c r="A5" s="5" t="s">
        <v>29</v>
      </c>
      <c r="B5" s="5" t="s">
        <v>30</v>
      </c>
      <c r="C5" s="13" t="n">
        <v>0.488</v>
      </c>
      <c r="D5" s="13" t="n">
        <v>0.864</v>
      </c>
      <c r="E5" s="14" t="n">
        <v>1.4967</v>
      </c>
      <c r="F5" s="13" t="n">
        <v>0.5556</v>
      </c>
      <c r="G5" s="13" t="n">
        <v>0.8889</v>
      </c>
      <c r="H5" s="13" t="n">
        <v>0.672</v>
      </c>
      <c r="I5" s="14" t="n">
        <v>1.4189</v>
      </c>
    </row>
    <row r="6" customFormat="false" ht="15" hidden="false" customHeight="false" outlineLevel="0" collapsed="false">
      <c r="A6" s="5" t="s">
        <v>31</v>
      </c>
      <c r="B6" s="5" t="s">
        <v>32</v>
      </c>
      <c r="C6" s="13" t="n">
        <v>0.528</v>
      </c>
      <c r="D6" s="13" t="n">
        <v>0.888</v>
      </c>
      <c r="E6" s="14" t="n">
        <v>1.3667</v>
      </c>
      <c r="F6" s="13" t="n">
        <v>0.5714</v>
      </c>
      <c r="G6" s="13" t="n">
        <v>0.9048</v>
      </c>
      <c r="H6" s="13" t="n">
        <v>0.6931</v>
      </c>
      <c r="I6" s="14" t="n">
        <v>1.3604</v>
      </c>
    </row>
    <row r="7" customFormat="false" ht="15" hidden="false" customHeight="false" outlineLevel="0" collapsed="false">
      <c r="A7" s="5" t="s">
        <v>33</v>
      </c>
      <c r="B7" s="5" t="s">
        <v>34</v>
      </c>
      <c r="C7" s="13" t="n">
        <v>0.584</v>
      </c>
      <c r="D7" s="13" t="n">
        <v>0.904</v>
      </c>
      <c r="E7" s="14" t="n">
        <v>1.1843</v>
      </c>
      <c r="F7" s="13" t="n">
        <v>0.4603</v>
      </c>
      <c r="G7" s="13" t="n">
        <v>0.873</v>
      </c>
      <c r="H7" s="13" t="n">
        <v>0.6402</v>
      </c>
      <c r="I7" s="14" t="n">
        <v>1.4435</v>
      </c>
    </row>
    <row r="8" customFormat="false" ht="15" hidden="false" customHeight="false" outlineLevel="0" collapsed="false">
      <c r="A8" s="5" t="s">
        <v>35</v>
      </c>
      <c r="B8" s="5" t="s">
        <v>36</v>
      </c>
      <c r="C8" s="13" t="n">
        <v>0.376</v>
      </c>
      <c r="D8" s="13" t="n">
        <v>0.808</v>
      </c>
      <c r="E8" s="14" t="n">
        <v>1.7611</v>
      </c>
      <c r="F8" s="13" t="n">
        <v>0.2063</v>
      </c>
      <c r="G8" s="13" t="n">
        <v>0.6508</v>
      </c>
      <c r="H8" s="13" t="n">
        <v>0.5026</v>
      </c>
      <c r="I8" s="14" t="n">
        <v>1.9874</v>
      </c>
    </row>
    <row r="9" customFormat="false" ht="15" hidden="false" customHeight="false" outlineLevel="0" collapsed="false">
      <c r="A9" s="5" t="s">
        <v>37</v>
      </c>
      <c r="B9" s="5" t="s">
        <v>38</v>
      </c>
      <c r="C9" s="13" t="n">
        <v>0.6</v>
      </c>
      <c r="D9" s="13" t="n">
        <v>0.824</v>
      </c>
      <c r="E9" s="14" t="n">
        <v>1.4092</v>
      </c>
      <c r="F9" s="13" t="n">
        <v>0.2857</v>
      </c>
      <c r="G9" s="13" t="n">
        <v>0.6667</v>
      </c>
      <c r="H9" s="13" t="n">
        <v>0.545</v>
      </c>
      <c r="I9" s="14" t="n">
        <v>1.866</v>
      </c>
    </row>
    <row r="11" customFormat="false" ht="69.75" hidden="false" customHeight="true" outlineLevel="0" collapsed="false">
      <c r="A11" s="11" t="s">
        <v>39</v>
      </c>
      <c r="B11" s="11"/>
      <c r="C11" s="11"/>
      <c r="D11" s="11"/>
      <c r="E11" s="11"/>
      <c r="F11" s="11"/>
      <c r="G11" s="11"/>
      <c r="H11" s="11"/>
      <c r="I11" s="11"/>
    </row>
  </sheetData>
  <mergeCells count="1">
    <mergeCell ref="A11:I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1" min="1" style="0" width="12"/>
  </cols>
  <sheetData>
    <row r="1" customFormat="false" ht="31.5" hidden="false" customHeight="true" outlineLevel="0" collapsed="false">
      <c r="A1" s="3" t="s">
        <v>40</v>
      </c>
      <c r="B1" s="3" t="s">
        <v>7</v>
      </c>
      <c r="C1" s="3" t="s">
        <v>41</v>
      </c>
      <c r="D1" s="3" t="s">
        <v>42</v>
      </c>
      <c r="E1" s="3" t="s">
        <v>43</v>
      </c>
      <c r="F1" s="3" t="s">
        <v>44</v>
      </c>
      <c r="G1" s="3" t="s">
        <v>45</v>
      </c>
      <c r="H1" s="3" t="s">
        <v>46</v>
      </c>
      <c r="I1" s="3" t="s">
        <v>47</v>
      </c>
      <c r="J1" s="3" t="s">
        <v>48</v>
      </c>
      <c r="K1" s="3" t="s">
        <v>49</v>
      </c>
    </row>
    <row r="2" customFormat="false" ht="15" hidden="false" customHeight="false" outlineLevel="0" collapsed="false">
      <c r="A2" s="4" t="s">
        <v>50</v>
      </c>
      <c r="B2" s="4" t="n">
        <f aca="false">COUNTIFS(Races!$A$2:$A$230,VALUE(A2))</f>
        <v>21</v>
      </c>
      <c r="C2" s="5" t="n">
        <f aca="false">AVERAGEIFS(Races!$L$2:$L$230,Races!$A$2:$A$230,VALUE(A2))</f>
        <v>0.619047619047619</v>
      </c>
      <c r="D2" s="5" t="n">
        <f aca="false">AVERAGEIFS(Races!$M$2:$M$230,Races!$A$2:$A$230,VALUE(A2))</f>
        <v>0.952380952380952</v>
      </c>
      <c r="E2" s="9" t="n">
        <f aca="false">AVERAGEIFS(Races!$O$2:$O$230,Races!$A$2:$A$230,VALUE(A2))</f>
        <v>1.0579803108939</v>
      </c>
      <c r="F2" s="5" t="n">
        <f aca="false">AVERAGEIFS(Races!$U$2:$U$230,Races!$A$2:$A$230,VALUE(A2))</f>
        <v>0.523809523809524</v>
      </c>
      <c r="G2" s="5" t="n">
        <f aca="false">AVERAGEIFS(Races!$V$2:$V$230,Races!$A$2:$A$230,VALUE(A2))</f>
        <v>0.952380952380952</v>
      </c>
      <c r="H2" s="9" t="n">
        <f aca="false">AVERAGEIFS(Races!$X$2:$X$230,Races!$A$2:$A$230,VALUE(A2))</f>
        <v>1.29235954204326</v>
      </c>
      <c r="I2" s="5" t="n">
        <f aca="false">AVERAGEIFS(Races!$AD$2:$AD$230,Races!$A$2:$A$230,VALUE(A2))</f>
        <v>0.619047619047619</v>
      </c>
      <c r="J2" s="5" t="n">
        <f aca="false">AVERAGEIFS(Races!$AE$2:$AE$230,Races!$A$2:$A$230,VALUE(A2))</f>
        <v>0.904761904761905</v>
      </c>
      <c r="K2" s="9" t="n">
        <f aca="false">AVERAGEIFS(Races!$AG$2:$AG$230,Races!$A$2:$A$230,VALUE(A2))</f>
        <v>1.17335146556077</v>
      </c>
    </row>
    <row r="3" customFormat="false" ht="15" hidden="false" customHeight="false" outlineLevel="0" collapsed="false">
      <c r="A3" s="4" t="s">
        <v>51</v>
      </c>
      <c r="B3" s="4" t="n">
        <f aca="false">COUNTIFS(Races!$A$2:$A$230,VALUE(A3))</f>
        <v>20</v>
      </c>
      <c r="C3" s="5" t="n">
        <f aca="false">AVERAGEIFS(Races!$L$2:$L$230,Races!$A$2:$A$230,VALUE(A3))</f>
        <v>0.6</v>
      </c>
      <c r="D3" s="5" t="n">
        <f aca="false">AVERAGEIFS(Races!$M$2:$M$230,Races!$A$2:$A$230,VALUE(A3))</f>
        <v>0.9</v>
      </c>
      <c r="E3" s="9" t="n">
        <f aca="false">AVERAGEIFS(Races!$O$2:$O$230,Races!$A$2:$A$230,VALUE(A3))</f>
        <v>1.25311033599859</v>
      </c>
      <c r="F3" s="5" t="n">
        <f aca="false">AVERAGEIFS(Races!$U$2:$U$230,Races!$A$2:$A$230,VALUE(A3))</f>
        <v>0.45</v>
      </c>
      <c r="G3" s="5" t="n">
        <f aca="false">AVERAGEIFS(Races!$V$2:$V$230,Races!$A$2:$A$230,VALUE(A3))</f>
        <v>0.8</v>
      </c>
      <c r="H3" s="9" t="n">
        <f aca="false">AVERAGEIFS(Races!$X$2:$X$230,Races!$A$2:$A$230,VALUE(A3))</f>
        <v>1.58141581231911</v>
      </c>
      <c r="I3" s="5" t="n">
        <f aca="false">AVERAGEIFS(Races!$AD$2:$AD$230,Races!$A$2:$A$230,VALUE(A3))</f>
        <v>0.55</v>
      </c>
      <c r="J3" s="5" t="n">
        <f aca="false">AVERAGEIFS(Races!$AE$2:$AE$230,Races!$A$2:$A$230,VALUE(A3))</f>
        <v>0.9</v>
      </c>
      <c r="K3" s="9" t="n">
        <f aca="false">AVERAGEIFS(Races!$AG$2:$AG$230,Races!$A$2:$A$230,VALUE(A3))</f>
        <v>1.44000028318201</v>
      </c>
    </row>
    <row r="4" customFormat="false" ht="15" hidden="false" customHeight="false" outlineLevel="0" collapsed="false">
      <c r="A4" s="4" t="s">
        <v>52</v>
      </c>
      <c r="B4" s="4" t="n">
        <f aca="false">COUNTIFS(Races!$A$2:$A$230,VALUE(A4))</f>
        <v>21</v>
      </c>
      <c r="C4" s="5" t="n">
        <f aca="false">AVERAGEIFS(Races!$L$2:$L$230,Races!$A$2:$A$230,VALUE(A4))</f>
        <v>0.523809523809524</v>
      </c>
      <c r="D4" s="5" t="n">
        <f aca="false">AVERAGEIFS(Races!$M$2:$M$230,Races!$A$2:$A$230,VALUE(A4))</f>
        <v>0.857142857142857</v>
      </c>
      <c r="E4" s="9" t="n">
        <f aca="false">AVERAGEIFS(Races!$O$2:$O$230,Races!$A$2:$A$230,VALUE(A4))</f>
        <v>1.49513912363968</v>
      </c>
      <c r="F4" s="5" t="n">
        <f aca="false">AVERAGEIFS(Races!$U$2:$U$230,Races!$A$2:$A$230,VALUE(A4))</f>
        <v>0.523809523809524</v>
      </c>
      <c r="G4" s="5" t="n">
        <f aca="false">AVERAGEIFS(Races!$V$2:$V$230,Races!$A$2:$A$230,VALUE(A4))</f>
        <v>0.761904761904762</v>
      </c>
      <c r="H4" s="9" t="n">
        <f aca="false">AVERAGEIFS(Races!$X$2:$X$230,Races!$A$2:$A$230,VALUE(A4))</f>
        <v>1.50841362470808</v>
      </c>
      <c r="I4" s="5" t="n">
        <f aca="false">AVERAGEIFS(Races!$AD$2:$AD$230,Races!$A$2:$A$230,VALUE(A4))</f>
        <v>0.476190476190476</v>
      </c>
      <c r="J4" s="5" t="n">
        <f aca="false">AVERAGEIFS(Races!$AE$2:$AE$230,Races!$A$2:$A$230,VALUE(A4))</f>
        <v>0.857142857142857</v>
      </c>
      <c r="K4" s="9" t="n">
        <f aca="false">AVERAGEIFS(Races!$AG$2:$AG$230,Races!$A$2:$A$230,VALUE(A4))</f>
        <v>1.58406438081481</v>
      </c>
    </row>
    <row r="5" customFormat="false" ht="15" hidden="false" customHeight="false" outlineLevel="0" collapsed="false">
      <c r="A5" s="4" t="s">
        <v>53</v>
      </c>
      <c r="B5" s="4" t="n">
        <f aca="false">COUNTIFS(Races!$A$2:$A$230,VALUE(A5))</f>
        <v>21</v>
      </c>
      <c r="C5" s="5" t="n">
        <f aca="false">AVERAGEIFS(Races!$L$2:$L$230,Races!$A$2:$A$230,VALUE(A5))</f>
        <v>0.380952380952381</v>
      </c>
      <c r="D5" s="5" t="n">
        <f aca="false">AVERAGEIFS(Races!$M$2:$M$230,Races!$A$2:$A$230,VALUE(A5))</f>
        <v>0.904761904761905</v>
      </c>
      <c r="E5" s="9" t="n">
        <f aca="false">AVERAGEIFS(Races!$O$2:$O$230,Races!$A$2:$A$230,VALUE(A5))</f>
        <v>1.31916016353647</v>
      </c>
      <c r="F5" s="5" t="n">
        <f aca="false">AVERAGEIFS(Races!$U$2:$U$230,Races!$A$2:$A$230,VALUE(A5))</f>
        <v>0.523809523809524</v>
      </c>
      <c r="G5" s="5" t="n">
        <f aca="false">AVERAGEIFS(Races!$V$2:$V$230,Races!$A$2:$A$230,VALUE(A5))</f>
        <v>0.761904761904762</v>
      </c>
      <c r="H5" s="9" t="n">
        <f aca="false">AVERAGEIFS(Races!$X$2:$X$230,Races!$A$2:$A$230,VALUE(A5))</f>
        <v>1.46483638605831</v>
      </c>
      <c r="I5" s="5" t="n">
        <f aca="false">AVERAGEIFS(Races!$AD$2:$AD$230,Races!$A$2:$A$230,VALUE(A5))</f>
        <v>0.380952380952381</v>
      </c>
      <c r="J5" s="5" t="n">
        <f aca="false">AVERAGEIFS(Races!$AE$2:$AE$230,Races!$A$2:$A$230,VALUE(A5))</f>
        <v>1</v>
      </c>
      <c r="K5" s="9" t="n">
        <f aca="false">AVERAGEIFS(Races!$AG$2:$AG$230,Races!$A$2:$A$230,VALUE(A5))</f>
        <v>1.41267910509522</v>
      </c>
    </row>
    <row r="6" customFormat="false" ht="15" hidden="false" customHeight="false" outlineLevel="0" collapsed="false">
      <c r="A6" s="4" t="s">
        <v>54</v>
      </c>
      <c r="B6" s="4" t="n">
        <f aca="false">COUNTIFS(Races!$A$2:$A$230,VALUE(A6))</f>
        <v>17</v>
      </c>
      <c r="C6" s="5" t="n">
        <f aca="false">AVERAGEIFS(Races!$L$2:$L$230,Races!$A$2:$A$230,VALUE(A6))</f>
        <v>0.588235294117647</v>
      </c>
      <c r="D6" s="5" t="n">
        <f aca="false">AVERAGEIFS(Races!$M$2:$M$230,Races!$A$2:$A$230,VALUE(A6))</f>
        <v>0.823529411764706</v>
      </c>
      <c r="E6" s="9" t="n">
        <f aca="false">AVERAGEIFS(Races!$O$2:$O$230,Races!$A$2:$A$230,VALUE(A6))</f>
        <v>1.43238251583612</v>
      </c>
      <c r="F6" s="5" t="n">
        <f aca="false">AVERAGEIFS(Races!$U$2:$U$230,Races!$A$2:$A$230,VALUE(A6))</f>
        <v>0.588235294117647</v>
      </c>
      <c r="G6" s="5" t="n">
        <f aca="false">AVERAGEIFS(Races!$V$2:$V$230,Races!$A$2:$A$230,VALUE(A6))</f>
        <v>0.882352941176471</v>
      </c>
      <c r="H6" s="9" t="n">
        <f aca="false">AVERAGEIFS(Races!$X$2:$X$230,Races!$A$2:$A$230,VALUE(A6))</f>
        <v>1.4119325206317</v>
      </c>
      <c r="I6" s="5" t="n">
        <f aca="false">AVERAGEIFS(Races!$AD$2:$AD$230,Races!$A$2:$A$230,VALUE(A6))</f>
        <v>0.588235294117647</v>
      </c>
      <c r="J6" s="5" t="n">
        <f aca="false">AVERAGEIFS(Races!$AE$2:$AE$230,Races!$A$2:$A$230,VALUE(A6))</f>
        <v>0.764705882352941</v>
      </c>
      <c r="K6" s="9" t="n">
        <f aca="false">AVERAGEIFS(Races!$AG$2:$AG$230,Races!$A$2:$A$230,VALUE(A6))</f>
        <v>1.58765799359227</v>
      </c>
    </row>
    <row r="7" customFormat="false" ht="15" hidden="false" customHeight="false" outlineLevel="0" collapsed="false">
      <c r="A7" s="4" t="s">
        <v>55</v>
      </c>
      <c r="B7" s="4" t="n">
        <f aca="false">COUNTIFS(Races!$A$2:$A$230,VALUE(A7))</f>
        <v>22</v>
      </c>
      <c r="C7" s="5" t="n">
        <f aca="false">AVERAGEIFS(Races!$L$2:$L$230,Races!$A$2:$A$230,VALUE(A7))</f>
        <v>0.5</v>
      </c>
      <c r="D7" s="5" t="n">
        <f aca="false">AVERAGEIFS(Races!$M$2:$M$230,Races!$A$2:$A$230,VALUE(A7))</f>
        <v>0.863636363636364</v>
      </c>
      <c r="E7" s="9" t="n">
        <f aca="false">AVERAGEIFS(Races!$O$2:$O$230,Races!$A$2:$A$230,VALUE(A7))</f>
        <v>1.46377900562919</v>
      </c>
      <c r="F7" s="5" t="n">
        <f aca="false">AVERAGEIFS(Races!$U$2:$U$230,Races!$A$2:$A$230,VALUE(A7))</f>
        <v>0.454545454545455</v>
      </c>
      <c r="G7" s="5" t="n">
        <f aca="false">AVERAGEIFS(Races!$V$2:$V$230,Races!$A$2:$A$230,VALUE(A7))</f>
        <v>0.863636363636364</v>
      </c>
      <c r="H7" s="9" t="n">
        <f aca="false">AVERAGEIFS(Races!$X$2:$X$230,Races!$A$2:$A$230,VALUE(A7))</f>
        <v>1.56344446988548</v>
      </c>
      <c r="I7" s="5" t="n">
        <f aca="false">AVERAGEIFS(Races!$AD$2:$AD$230,Races!$A$2:$A$230,VALUE(A7))</f>
        <v>0.5</v>
      </c>
      <c r="J7" s="5" t="n">
        <f aca="false">AVERAGEIFS(Races!$AE$2:$AE$230,Races!$A$2:$A$230,VALUE(A7))</f>
        <v>0.818181818181818</v>
      </c>
      <c r="K7" s="9" t="n">
        <f aca="false">AVERAGEIFS(Races!$AG$2:$AG$230,Races!$A$2:$A$230,VALUE(A7))</f>
        <v>1.65343307716936</v>
      </c>
    </row>
    <row r="8" customFormat="false" ht="15" hidden="false" customHeight="false" outlineLevel="0" collapsed="false">
      <c r="A8" s="4" t="s">
        <v>56</v>
      </c>
      <c r="B8" s="4" t="n">
        <f aca="false">COUNTIFS(Races!$A$2:$A$230,VALUE(A8))</f>
        <v>22</v>
      </c>
      <c r="C8" s="5" t="n">
        <f aca="false">AVERAGEIFS(Races!$L$2:$L$230,Races!$A$2:$A$230,VALUE(A8))</f>
        <v>0.409090909090909</v>
      </c>
      <c r="D8" s="5" t="n">
        <f aca="false">AVERAGEIFS(Races!$M$2:$M$230,Races!$A$2:$A$230,VALUE(A8))</f>
        <v>0.909090909090909</v>
      </c>
      <c r="E8" s="9" t="n">
        <f aca="false">AVERAGEIFS(Races!$O$2:$O$230,Races!$A$2:$A$230,VALUE(A8))</f>
        <v>1.50830062162213</v>
      </c>
      <c r="F8" s="5" t="n">
        <f aca="false">AVERAGEIFS(Races!$U$2:$U$230,Races!$A$2:$A$230,VALUE(A8))</f>
        <v>0.590909090909091</v>
      </c>
      <c r="G8" s="5" t="n">
        <f aca="false">AVERAGEIFS(Races!$V$2:$V$230,Races!$A$2:$A$230,VALUE(A8))</f>
        <v>0.772727272727273</v>
      </c>
      <c r="H8" s="9" t="n">
        <f aca="false">AVERAGEIFS(Races!$X$2:$X$230,Races!$A$2:$A$230,VALUE(A8))</f>
        <v>1.50346802929477</v>
      </c>
      <c r="I8" s="5" t="n">
        <f aca="false">AVERAGEIFS(Races!$AD$2:$AD$230,Races!$A$2:$A$230,VALUE(A8))</f>
        <v>0.454545454545455</v>
      </c>
      <c r="J8" s="5" t="n">
        <f aca="false">AVERAGEIFS(Races!$AE$2:$AE$230,Races!$A$2:$A$230,VALUE(A8))</f>
        <v>0.818181818181818</v>
      </c>
      <c r="K8" s="9" t="n">
        <f aca="false">AVERAGEIFS(Races!$AG$2:$AG$230,Races!$A$2:$A$230,VALUE(A8))</f>
        <v>1.75191495240464</v>
      </c>
    </row>
    <row r="9" customFormat="false" ht="15" hidden="false" customHeight="false" outlineLevel="0" collapsed="false">
      <c r="A9" s="4" t="s">
        <v>57</v>
      </c>
      <c r="B9" s="4" t="n">
        <f aca="false">COUNTIFS(Races!$A$2:$A$230,VALUE(A9))</f>
        <v>22</v>
      </c>
      <c r="C9" s="5" t="n">
        <f aca="false">AVERAGEIFS(Races!$L$2:$L$230,Races!$A$2:$A$230,VALUE(A9))</f>
        <v>0.909090909090909</v>
      </c>
      <c r="D9" s="5" t="n">
        <f aca="false">AVERAGEIFS(Races!$M$2:$M$230,Races!$A$2:$A$230,VALUE(A9))</f>
        <v>1</v>
      </c>
      <c r="E9" s="9" t="n">
        <f aca="false">AVERAGEIFS(Races!$O$2:$O$230,Races!$A$2:$A$230,VALUE(A9))</f>
        <v>0.586449661368595</v>
      </c>
      <c r="F9" s="5" t="n">
        <f aca="false">AVERAGEIFS(Races!$U$2:$U$230,Races!$A$2:$A$230,VALUE(A9))</f>
        <v>0.863636363636364</v>
      </c>
      <c r="G9" s="5" t="n">
        <f aca="false">AVERAGEIFS(Races!$V$2:$V$230,Races!$A$2:$A$230,VALUE(A9))</f>
        <v>0.954545454545455</v>
      </c>
      <c r="H9" s="9" t="n">
        <f aca="false">AVERAGEIFS(Races!$X$2:$X$230,Races!$A$2:$A$230,VALUE(A9))</f>
        <v>0.745110256264739</v>
      </c>
      <c r="I9" s="5" t="n">
        <f aca="false">AVERAGEIFS(Races!$AD$2:$AD$230,Races!$A$2:$A$230,VALUE(A9))</f>
        <v>0.636363636363636</v>
      </c>
      <c r="J9" s="5" t="n">
        <f aca="false">AVERAGEIFS(Races!$AE$2:$AE$230,Races!$A$2:$A$230,VALUE(A9))</f>
        <v>0.863636363636364</v>
      </c>
      <c r="K9" s="9" t="n">
        <f aca="false">AVERAGEIFS(Races!$AG$2:$AG$230,Races!$A$2:$A$230,VALUE(A9))</f>
        <v>1.33556044347286</v>
      </c>
    </row>
    <row r="10" customFormat="false" ht="15" hidden="false" customHeight="false" outlineLevel="0" collapsed="false">
      <c r="A10" s="4" t="s">
        <v>58</v>
      </c>
      <c r="B10" s="4" t="n">
        <f aca="false">COUNTIFS(Races!$A$2:$A$230,VALUE(A10))</f>
        <v>24</v>
      </c>
      <c r="C10" s="5" t="n">
        <f aca="false">AVERAGEIFS(Races!$L$2:$L$230,Races!$A$2:$A$230,VALUE(A10))</f>
        <v>0.416666666666667</v>
      </c>
      <c r="D10" s="5" t="n">
        <f aca="false">AVERAGEIFS(Races!$M$2:$M$230,Races!$A$2:$A$230,VALUE(A10))</f>
        <v>0.833333333333333</v>
      </c>
      <c r="E10" s="9" t="n">
        <f aca="false">AVERAGEIFS(Races!$O$2:$O$230,Races!$A$2:$A$230,VALUE(A10))</f>
        <v>1.7944386675307</v>
      </c>
      <c r="F10" s="5" t="n">
        <f aca="false">AVERAGEIFS(Races!$U$2:$U$230,Races!$A$2:$A$230,VALUE(A10))</f>
        <v>0.375</v>
      </c>
      <c r="G10" s="5" t="n">
        <f aca="false">AVERAGEIFS(Races!$V$2:$V$230,Races!$A$2:$A$230,VALUE(A10))</f>
        <v>0.625</v>
      </c>
      <c r="H10" s="9" t="n">
        <f aca="false">AVERAGEIFS(Races!$X$2:$X$230,Races!$A$2:$A$230,VALUE(A10))</f>
        <v>1.87458270227402</v>
      </c>
      <c r="I10" s="5" t="n">
        <f aca="false">AVERAGEIFS(Races!$AD$2:$AD$230,Races!$A$2:$A$230,VALUE(A10))</f>
        <v>0.458333333333333</v>
      </c>
      <c r="J10" s="5" t="n">
        <f aca="false">AVERAGEIFS(Races!$AE$2:$AE$230,Races!$A$2:$A$230,VALUE(A10))</f>
        <v>0.833333333333333</v>
      </c>
      <c r="K10" s="9" t="n">
        <f aca="false">AVERAGEIFS(Races!$AG$2:$AG$230,Races!$A$2:$A$230,VALUE(A10))</f>
        <v>1.60794598524607</v>
      </c>
    </row>
    <row r="11" customFormat="false" ht="15" hidden="false" customHeight="false" outlineLevel="0" collapsed="false">
      <c r="A11" s="4" t="s">
        <v>59</v>
      </c>
      <c r="B11" s="4" t="n">
        <f aca="false">COUNTIFS(Races!$A$2:$A$230,VALUE(A11))</f>
        <v>24</v>
      </c>
      <c r="C11" s="5" t="n">
        <f aca="false">AVERAGEIFS(Races!$L$2:$L$230,Races!$A$2:$A$230,VALUE(A11))</f>
        <v>0.666666666666667</v>
      </c>
      <c r="D11" s="5" t="n">
        <f aca="false">AVERAGEIFS(Races!$M$2:$M$230,Races!$A$2:$A$230,VALUE(A11))</f>
        <v>1</v>
      </c>
      <c r="E11" s="9" t="n">
        <f aca="false">AVERAGEIFS(Races!$O$2:$O$230,Races!$A$2:$A$230,VALUE(A11))</f>
        <v>1.02720211241956</v>
      </c>
      <c r="F11" s="5" t="n">
        <f aca="false">AVERAGEIFS(Races!$U$2:$U$230,Races!$A$2:$A$230,VALUE(A11))</f>
        <v>0.25</v>
      </c>
      <c r="G11" s="5" t="n">
        <f aca="false">AVERAGEIFS(Races!$V$2:$V$230,Races!$A$2:$A$230,VALUE(A11))</f>
        <v>0.875</v>
      </c>
      <c r="H11" s="9" t="n">
        <f aca="false">AVERAGEIFS(Races!$X$2:$X$230,Races!$A$2:$A$230,VALUE(A11))</f>
        <v>1.65728642477796</v>
      </c>
      <c r="I11" s="5" t="n">
        <f aca="false">AVERAGEIFS(Races!$AD$2:$AD$230,Races!$A$2:$A$230,VALUE(A11))</f>
        <v>0.666666666666667</v>
      </c>
      <c r="J11" s="5" t="n">
        <f aca="false">AVERAGEIFS(Races!$AE$2:$AE$230,Races!$A$2:$A$230,VALUE(A11))</f>
        <v>0.958333333333333</v>
      </c>
      <c r="K11" s="9" t="n">
        <f aca="false">AVERAGEIFS(Races!$AG$2:$AG$230,Races!$A$2:$A$230,VALUE(A11))</f>
        <v>1.08759303435015</v>
      </c>
    </row>
    <row r="12" customFormat="false" ht="15" hidden="false" customHeight="false" outlineLevel="0" collapsed="false">
      <c r="A12" s="4" t="s">
        <v>60</v>
      </c>
      <c r="B12" s="4" t="n">
        <f aca="false">COUNTIFS(Races!$A$2:$A$230,VALUE(A12))</f>
        <v>15</v>
      </c>
      <c r="C12" s="5" t="n">
        <f aca="false">AVERAGEIFS(Races!$L$2:$L$230,Races!$A$2:$A$230,VALUE(A12))</f>
        <v>0.666666666666667</v>
      </c>
      <c r="D12" s="5" t="n">
        <f aca="false">AVERAGEIFS(Races!$M$2:$M$230,Races!$A$2:$A$230,VALUE(A12))</f>
        <v>0.866666666666667</v>
      </c>
      <c r="E12" s="9" t="n">
        <f aca="false">AVERAGEIFS(Races!$O$2:$O$230,Races!$A$2:$A$230,VALUE(A12))</f>
        <v>1.19889526451092</v>
      </c>
      <c r="F12" s="5" t="n">
        <f aca="false">AVERAGEIFS(Races!$U$2:$U$230,Races!$A$2:$A$230,VALUE(A12))</f>
        <v>0.2</v>
      </c>
      <c r="G12" s="5" t="n">
        <f aca="false">AVERAGEIFS(Races!$V$2:$V$230,Races!$A$2:$A$230,VALUE(A12))</f>
        <v>0.4</v>
      </c>
      <c r="H12" s="9" t="n">
        <f aca="false">AVERAGEIFS(Races!$X$2:$X$230,Races!$A$2:$A$230,VALUE(A12))</f>
        <v>2.18621595721635</v>
      </c>
      <c r="I12" s="5" t="n">
        <f aca="false">AVERAGEIFS(Races!$AD$2:$AD$230,Races!$A$2:$A$230,VALUE(A12))</f>
        <v>0.666666666666667</v>
      </c>
      <c r="J12" s="5" t="n">
        <f aca="false">AVERAGEIFS(Races!$AE$2:$AE$230,Races!$A$2:$A$230,VALUE(A12))</f>
        <v>0.933333333333333</v>
      </c>
      <c r="K12" s="9" t="n">
        <f aca="false">AVERAGEIFS(Races!$AG$2:$AG$230,Races!$A$2:$A$230,VALUE(A12))</f>
        <v>1.24837195120566</v>
      </c>
    </row>
    <row r="14" customFormat="false" ht="15" hidden="false" customHeight="false" outlineLevel="0" collapsed="false">
      <c r="A14" s="6" t="s">
        <v>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2"/>
  </cols>
  <sheetData>
    <row r="1" customFormat="false" ht="16.15" hidden="false" customHeight="false" outlineLevel="0" collapsed="false">
      <c r="A1" s="12" t="s">
        <v>62</v>
      </c>
    </row>
    <row r="3" customFormat="false" ht="30" hidden="false" customHeight="true" outlineLevel="0" collapsed="false">
      <c r="A3" s="3" t="s">
        <v>63</v>
      </c>
      <c r="B3" s="3" t="s">
        <v>64</v>
      </c>
    </row>
    <row r="4" customFormat="false" ht="15" hidden="false" customHeight="false" outlineLevel="0" collapsed="false">
      <c r="A4" s="4" t="s">
        <v>65</v>
      </c>
      <c r="B4" s="14" t="n">
        <v>0.8924</v>
      </c>
    </row>
    <row r="5" customFormat="false" ht="15" hidden="false" customHeight="false" outlineLevel="0" collapsed="false">
      <c r="A5" s="4" t="s">
        <v>66</v>
      </c>
      <c r="B5" s="14" t="n">
        <v>0.1107</v>
      </c>
    </row>
    <row r="6" customFormat="false" ht="15" hidden="false" customHeight="false" outlineLevel="0" collapsed="false">
      <c r="A6" s="4" t="s">
        <v>67</v>
      </c>
      <c r="B6" s="14" t="n">
        <v>0.7283</v>
      </c>
    </row>
    <row r="7" customFormat="false" ht="15" hidden="false" customHeight="false" outlineLevel="0" collapsed="false">
      <c r="A7" s="4" t="s">
        <v>68</v>
      </c>
      <c r="B7" s="14" t="n">
        <v>0.7135</v>
      </c>
    </row>
    <row r="8" customFormat="false" ht="15" hidden="false" customHeight="false" outlineLevel="0" collapsed="false">
      <c r="A8" s="4" t="s">
        <v>69</v>
      </c>
      <c r="B8" s="14" t="n">
        <v>0.9863</v>
      </c>
    </row>
    <row r="9" customFormat="false" ht="15" hidden="false" customHeight="false" outlineLevel="0" collapsed="false">
      <c r="A9" s="4" t="s">
        <v>70</v>
      </c>
      <c r="B9" s="14" t="n">
        <v>0.8365</v>
      </c>
    </row>
    <row r="10" customFormat="false" ht="15" hidden="false" customHeight="false" outlineLevel="0" collapsed="false">
      <c r="A10" s="4" t="s">
        <v>71</v>
      </c>
      <c r="B10" s="14" t="n">
        <v>0.6874</v>
      </c>
    </row>
    <row r="11" customFormat="false" ht="15" hidden="false" customHeight="false" outlineLevel="0" collapsed="false">
      <c r="A11" s="4" t="s">
        <v>72</v>
      </c>
      <c r="B11" s="14" t="n">
        <v>0.4084</v>
      </c>
    </row>
    <row r="13" customFormat="false" ht="30" hidden="false" customHeight="true" outlineLevel="0" collapsed="false">
      <c r="A13" s="3" t="s">
        <v>73</v>
      </c>
      <c r="B13" s="3" t="s">
        <v>64</v>
      </c>
    </row>
    <row r="14" customFormat="false" ht="15" hidden="false" customHeight="false" outlineLevel="0" collapsed="false">
      <c r="A14" s="4" t="s">
        <v>74</v>
      </c>
      <c r="B14" s="14" t="n">
        <v>0.8195</v>
      </c>
    </row>
    <row r="15" customFormat="false" ht="15" hidden="false" customHeight="false" outlineLevel="0" collapsed="false">
      <c r="A15" s="4" t="s">
        <v>75</v>
      </c>
      <c r="B15" s="14" t="n">
        <v>0.2442</v>
      </c>
    </row>
    <row r="16" customFormat="false" ht="15" hidden="false" customHeight="false" outlineLevel="0" collapsed="false">
      <c r="A16" s="4" t="s">
        <v>69</v>
      </c>
      <c r="B16" s="14" t="n">
        <v>0.4107</v>
      </c>
    </row>
    <row r="17" customFormat="false" ht="15" hidden="false" customHeight="false" outlineLevel="0" collapsed="false">
      <c r="A17" s="4" t="s">
        <v>70</v>
      </c>
      <c r="B17" s="14" t="n">
        <v>0.4483</v>
      </c>
    </row>
    <row r="18" customFormat="false" ht="15" hidden="false" customHeight="false" outlineLevel="0" collapsed="false">
      <c r="A18" s="4" t="s">
        <v>71</v>
      </c>
      <c r="B18" s="14" t="n">
        <v>0.1321</v>
      </c>
    </row>
    <row r="19" customFormat="false" ht="15" hidden="false" customHeight="false" outlineLevel="0" collapsed="false">
      <c r="A19" s="4" t="s">
        <v>72</v>
      </c>
      <c r="B19" s="14" t="n">
        <v>0.2024</v>
      </c>
    </row>
    <row r="21" customFormat="false" ht="60" hidden="false" customHeight="true" outlineLevel="0" collapsed="false">
      <c r="A21" s="11" t="s">
        <v>76</v>
      </c>
      <c r="B21" s="11"/>
    </row>
  </sheetData>
  <mergeCells count="1">
    <mergeCell ref="A21:B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6"/>
    <col collapsed="false" customWidth="true" hidden="false" outlineLevel="0" max="3" min="3" style="0" width="26"/>
    <col collapsed="false" customWidth="true" hidden="false" outlineLevel="0" max="4" min="4" style="0" width="7"/>
    <col collapsed="false" customWidth="true" hidden="false" outlineLevel="0" max="5" min="5" style="0" width="18"/>
    <col collapsed="false" customWidth="true" hidden="false" outlineLevel="0" max="6" min="6" style="0" width="8"/>
    <col collapsed="false" customWidth="true" hidden="false" outlineLevel="0" max="7" min="7" style="0" width="17"/>
    <col collapsed="false" customWidth="true" hidden="false" outlineLevel="0" max="8" min="8" style="0" width="11"/>
    <col collapsed="false" customWidth="true" hidden="false" outlineLevel="0" max="10" min="9" style="0" width="17"/>
    <col collapsed="false" customWidth="true" hidden="false" outlineLevel="0" max="15" min="11" style="0" width="11"/>
    <col collapsed="false" customWidth="true" hidden="false" outlineLevel="0" max="16" min="16" style="0" width="17"/>
    <col collapsed="false" customWidth="true" hidden="false" outlineLevel="0" max="17" min="17" style="0" width="11"/>
    <col collapsed="false" customWidth="true" hidden="false" outlineLevel="0" max="19" min="18" style="0" width="17"/>
    <col collapsed="false" customWidth="true" hidden="false" outlineLevel="0" max="24" min="20" style="0" width="11"/>
    <col collapsed="false" customWidth="true" hidden="false" outlineLevel="0" max="25" min="25" style="0" width="17"/>
    <col collapsed="false" customWidth="true" hidden="false" outlineLevel="0" max="26" min="26" style="0" width="11"/>
    <col collapsed="false" customWidth="true" hidden="false" outlineLevel="0" max="28" min="27" style="0" width="17"/>
    <col collapsed="false" customWidth="true" hidden="false" outlineLevel="0" max="33" min="29" style="0" width="11"/>
  </cols>
  <sheetData>
    <row r="1" customFormat="false" ht="48" hidden="false" customHeight="true" outlineLevel="0" collapsed="false">
      <c r="A1" s="3" t="s">
        <v>77</v>
      </c>
      <c r="B1" s="3" t="s">
        <v>78</v>
      </c>
      <c r="C1" s="3" t="s">
        <v>79</v>
      </c>
      <c r="D1" s="3" t="s">
        <v>80</v>
      </c>
      <c r="E1" s="3" t="s">
        <v>81</v>
      </c>
      <c r="F1" s="3" t="s">
        <v>82</v>
      </c>
      <c r="G1" s="3" t="s">
        <v>83</v>
      </c>
      <c r="H1" s="3" t="s">
        <v>84</v>
      </c>
      <c r="I1" s="3" t="s">
        <v>85</v>
      </c>
      <c r="J1" s="3" t="s">
        <v>86</v>
      </c>
      <c r="K1" s="3" t="s">
        <v>87</v>
      </c>
      <c r="L1" s="3" t="s">
        <v>88</v>
      </c>
      <c r="M1" s="3" t="s">
        <v>42</v>
      </c>
      <c r="N1" s="3" t="s">
        <v>89</v>
      </c>
      <c r="O1" s="3" t="s">
        <v>43</v>
      </c>
      <c r="P1" s="3" t="s">
        <v>90</v>
      </c>
      <c r="Q1" s="3" t="s">
        <v>91</v>
      </c>
      <c r="R1" s="3" t="s">
        <v>92</v>
      </c>
      <c r="S1" s="3" t="s">
        <v>93</v>
      </c>
      <c r="T1" s="3" t="s">
        <v>94</v>
      </c>
      <c r="U1" s="3" t="s">
        <v>95</v>
      </c>
      <c r="V1" s="3" t="s">
        <v>45</v>
      </c>
      <c r="W1" s="3" t="s">
        <v>96</v>
      </c>
      <c r="X1" s="3" t="s">
        <v>46</v>
      </c>
      <c r="Y1" s="3" t="s">
        <v>97</v>
      </c>
      <c r="Z1" s="3" t="s">
        <v>98</v>
      </c>
      <c r="AA1" s="3" t="s">
        <v>99</v>
      </c>
      <c r="AB1" s="3" t="s">
        <v>100</v>
      </c>
      <c r="AC1" s="3" t="s">
        <v>101</v>
      </c>
      <c r="AD1" s="3" t="s">
        <v>102</v>
      </c>
      <c r="AE1" s="3" t="s">
        <v>48</v>
      </c>
      <c r="AF1" s="3" t="s">
        <v>103</v>
      </c>
      <c r="AG1" s="3" t="s">
        <v>49</v>
      </c>
    </row>
    <row r="2" customFormat="false" ht="15" hidden="false" customHeight="false" outlineLevel="0" collapsed="false">
      <c r="A2" s="4" t="n">
        <v>2016</v>
      </c>
      <c r="B2" s="4" t="n">
        <v>1</v>
      </c>
      <c r="C2" s="4" t="s">
        <v>104</v>
      </c>
      <c r="D2" s="4" t="s">
        <v>105</v>
      </c>
      <c r="E2" s="4" t="s">
        <v>106</v>
      </c>
      <c r="F2" s="4" t="n">
        <v>2</v>
      </c>
      <c r="G2" s="4" t="s">
        <v>107</v>
      </c>
      <c r="H2" s="5" t="n">
        <v>0.52532</v>
      </c>
      <c r="I2" s="4" t="s">
        <v>106</v>
      </c>
      <c r="J2" s="4" t="s">
        <v>108</v>
      </c>
      <c r="K2" s="5" t="n">
        <v>0.1994</v>
      </c>
      <c r="L2" s="4" t="n">
        <f aca="false">IF(G2=$E2,1,0)</f>
        <v>0</v>
      </c>
      <c r="M2" s="4" t="n">
        <f aca="false">IF(OR(G2=$E2,I2=$E2,J2=$E2),1,0)</f>
        <v>1</v>
      </c>
      <c r="N2" s="4" t="n">
        <v>3</v>
      </c>
      <c r="O2" s="9" t="n">
        <f aca="false">-LN(MAX(K2,0.0001))</f>
        <v>1.6124424214544</v>
      </c>
      <c r="P2" s="4" t="s">
        <v>107</v>
      </c>
      <c r="Q2" s="5" t="n">
        <v>0.36644</v>
      </c>
      <c r="R2" s="4" t="s">
        <v>106</v>
      </c>
      <c r="S2" s="4" t="s">
        <v>108</v>
      </c>
      <c r="T2" s="5" t="n">
        <v>0.19846</v>
      </c>
      <c r="U2" s="4" t="n">
        <f aca="false">IF(P2=$E2,1,0)</f>
        <v>0</v>
      </c>
      <c r="V2" s="4" t="n">
        <f aca="false">IF(OR(P2=$E2,R2=$E2,S2=$E2),1,0)</f>
        <v>1</v>
      </c>
      <c r="W2" s="4" t="n">
        <v>3</v>
      </c>
      <c r="X2" s="9" t="n">
        <f aca="false">-LN(MAX(T2,0.0001))</f>
        <v>1.61716771049604</v>
      </c>
      <c r="Y2" s="4" t="s">
        <v>107</v>
      </c>
      <c r="Z2" s="5" t="n">
        <v>0.5439</v>
      </c>
      <c r="AA2" s="4" t="s">
        <v>106</v>
      </c>
      <c r="AB2" s="4" t="s">
        <v>108</v>
      </c>
      <c r="AC2" s="5" t="n">
        <v>0.20198</v>
      </c>
      <c r="AD2" s="4" t="n">
        <f aca="false">IF(Y2=$E2,1,0)</f>
        <v>0</v>
      </c>
      <c r="AE2" s="4" t="n">
        <f aca="false">IF(OR(Y2=$E2,AA2=$E2,AB2=$E2),1,0)</f>
        <v>1</v>
      </c>
      <c r="AF2" s="4" t="n">
        <v>3</v>
      </c>
      <c r="AG2" s="9" t="n">
        <f aca="false">-LN(MAX(AC2,0.0001))</f>
        <v>1.59958659638373</v>
      </c>
    </row>
    <row r="3" customFormat="false" ht="15" hidden="false" customHeight="false" outlineLevel="0" collapsed="false">
      <c r="A3" s="4" t="n">
        <v>2016</v>
      </c>
      <c r="B3" s="4" t="n">
        <v>2</v>
      </c>
      <c r="C3" s="4" t="s">
        <v>109</v>
      </c>
      <c r="D3" s="4" t="s">
        <v>105</v>
      </c>
      <c r="E3" s="4" t="s">
        <v>106</v>
      </c>
      <c r="F3" s="4" t="n">
        <v>2</v>
      </c>
      <c r="G3" s="4" t="s">
        <v>107</v>
      </c>
      <c r="H3" s="5" t="n">
        <v>0.54444</v>
      </c>
      <c r="I3" s="4" t="s">
        <v>106</v>
      </c>
      <c r="J3" s="4" t="s">
        <v>108</v>
      </c>
      <c r="K3" s="5" t="n">
        <v>0.31118</v>
      </c>
      <c r="L3" s="4" t="n">
        <f aca="false">IF(G3=$E3,1,0)</f>
        <v>0</v>
      </c>
      <c r="M3" s="4" t="n">
        <f aca="false">IF(OR(G3=$E3,I3=$E3,J3=$E3),1,0)</f>
        <v>1</v>
      </c>
      <c r="N3" s="4" t="n">
        <v>2</v>
      </c>
      <c r="O3" s="9" t="n">
        <f aca="false">-LN(MAX(K3,0.0001))</f>
        <v>1.16738375609532</v>
      </c>
      <c r="P3" s="4" t="s">
        <v>107</v>
      </c>
      <c r="Q3" s="5" t="n">
        <v>0.4501</v>
      </c>
      <c r="R3" s="4" t="s">
        <v>106</v>
      </c>
      <c r="S3" s="4" t="s">
        <v>108</v>
      </c>
      <c r="T3" s="5" t="n">
        <v>0.29124</v>
      </c>
      <c r="U3" s="4" t="n">
        <f aca="false">IF(P3=$E3,1,0)</f>
        <v>0</v>
      </c>
      <c r="V3" s="4" t="n">
        <f aca="false">IF(OR(P3=$E3,R3=$E3,S3=$E3),1,0)</f>
        <v>1</v>
      </c>
      <c r="W3" s="4" t="n">
        <v>2</v>
      </c>
      <c r="X3" s="9" t="n">
        <f aca="false">-LN(MAX(T3,0.0001))</f>
        <v>1.23360760945563</v>
      </c>
      <c r="Y3" s="4" t="s">
        <v>107</v>
      </c>
      <c r="Z3" s="5" t="n">
        <v>0.54384</v>
      </c>
      <c r="AA3" s="4" t="s">
        <v>106</v>
      </c>
      <c r="AB3" s="4" t="s">
        <v>108</v>
      </c>
      <c r="AC3" s="5" t="n">
        <v>0.20408</v>
      </c>
      <c r="AD3" s="4" t="n">
        <f aca="false">IF(Y3=$E3,1,0)</f>
        <v>0</v>
      </c>
      <c r="AE3" s="4" t="n">
        <f aca="false">IF(OR(Y3=$E3,AA3=$E3,AB3=$E3),1,0)</f>
        <v>1</v>
      </c>
      <c r="AF3" s="4" t="n">
        <v>2</v>
      </c>
      <c r="AG3" s="9" t="n">
        <f aca="false">-LN(MAX(AC3,0.0001))</f>
        <v>1.58924320514858</v>
      </c>
    </row>
    <row r="4" customFormat="false" ht="15" hidden="false" customHeight="false" outlineLevel="0" collapsed="false">
      <c r="A4" s="4" t="n">
        <v>2016</v>
      </c>
      <c r="B4" s="4" t="n">
        <v>3</v>
      </c>
      <c r="C4" s="4" t="s">
        <v>110</v>
      </c>
      <c r="D4" s="4" t="s">
        <v>105</v>
      </c>
      <c r="E4" s="4" t="s">
        <v>106</v>
      </c>
      <c r="F4" s="4" t="n">
        <v>1</v>
      </c>
      <c r="G4" s="4" t="s">
        <v>106</v>
      </c>
      <c r="H4" s="5" t="n">
        <v>0.76146</v>
      </c>
      <c r="I4" s="4" t="s">
        <v>111</v>
      </c>
      <c r="J4" s="4" t="s">
        <v>112</v>
      </c>
      <c r="K4" s="5" t="n">
        <v>0.76146</v>
      </c>
      <c r="L4" s="4" t="n">
        <f aca="false">IF(G4=$E4,1,0)</f>
        <v>1</v>
      </c>
      <c r="M4" s="4" t="n">
        <f aca="false">IF(OR(G4=$E4,I4=$E4,J4=$E4),1,0)</f>
        <v>1</v>
      </c>
      <c r="N4" s="4" t="n">
        <v>1</v>
      </c>
      <c r="O4" s="9" t="n">
        <f aca="false">-LN(MAX(K4,0.0001))</f>
        <v>0.272517635932009</v>
      </c>
      <c r="P4" s="4" t="s">
        <v>107</v>
      </c>
      <c r="Q4" s="5" t="n">
        <v>0.45062</v>
      </c>
      <c r="R4" s="4" t="s">
        <v>106</v>
      </c>
      <c r="S4" s="4" t="s">
        <v>108</v>
      </c>
      <c r="T4" s="5" t="n">
        <v>0.33574</v>
      </c>
      <c r="U4" s="4" t="n">
        <f aca="false">IF(P4=$E4,1,0)</f>
        <v>0</v>
      </c>
      <c r="V4" s="4" t="n">
        <f aca="false">IF(OR(P4=$E4,R4=$E4,S4=$E4),1,0)</f>
        <v>1</v>
      </c>
      <c r="W4" s="4" t="n">
        <v>2</v>
      </c>
      <c r="X4" s="9" t="n">
        <f aca="false">-LN(MAX(T4,0.0001))</f>
        <v>1.09141822808787</v>
      </c>
      <c r="Y4" s="4" t="s">
        <v>106</v>
      </c>
      <c r="Z4" s="5" t="n">
        <v>0.55474</v>
      </c>
      <c r="AA4" s="4" t="s">
        <v>112</v>
      </c>
      <c r="AB4" s="4" t="s">
        <v>111</v>
      </c>
      <c r="AC4" s="5" t="n">
        <v>0.55474</v>
      </c>
      <c r="AD4" s="4" t="n">
        <f aca="false">IF(Y4=$E4,1,0)</f>
        <v>1</v>
      </c>
      <c r="AE4" s="4" t="n">
        <f aca="false">IF(OR(Y4=$E4,AA4=$E4,AB4=$E4),1,0)</f>
        <v>1</v>
      </c>
      <c r="AF4" s="4" t="n">
        <v>1</v>
      </c>
      <c r="AG4" s="9" t="n">
        <f aca="false">-LN(MAX(AC4,0.0001))</f>
        <v>0.589255743469807</v>
      </c>
    </row>
    <row r="5" customFormat="false" ht="15" hidden="false" customHeight="false" outlineLevel="0" collapsed="false">
      <c r="A5" s="4" t="n">
        <v>2016</v>
      </c>
      <c r="B5" s="4" t="n">
        <v>4</v>
      </c>
      <c r="C5" s="4" t="s">
        <v>113</v>
      </c>
      <c r="D5" s="4" t="s">
        <v>105</v>
      </c>
      <c r="E5" s="4" t="s">
        <v>106</v>
      </c>
      <c r="F5" s="4" t="n">
        <v>1</v>
      </c>
      <c r="G5" s="4" t="s">
        <v>106</v>
      </c>
      <c r="H5" s="5" t="n">
        <v>0.84002</v>
      </c>
      <c r="I5" s="4" t="s">
        <v>107</v>
      </c>
      <c r="J5" s="4" t="s">
        <v>111</v>
      </c>
      <c r="K5" s="5" t="n">
        <v>0.84002</v>
      </c>
      <c r="L5" s="4" t="n">
        <f aca="false">IF(G5=$E5,1,0)</f>
        <v>1</v>
      </c>
      <c r="M5" s="4" t="n">
        <f aca="false">IF(OR(G5=$E5,I5=$E5,J5=$E5),1,0)</f>
        <v>1</v>
      </c>
      <c r="N5" s="4" t="n">
        <v>3</v>
      </c>
      <c r="O5" s="9" t="n">
        <f aca="false">-LN(MAX(K5,0.0001))</f>
        <v>0.17432957790441</v>
      </c>
      <c r="P5" s="4" t="s">
        <v>106</v>
      </c>
      <c r="Q5" s="5" t="n">
        <v>0.39112</v>
      </c>
      <c r="R5" s="4" t="s">
        <v>107</v>
      </c>
      <c r="S5" s="4" t="s">
        <v>108</v>
      </c>
      <c r="T5" s="5" t="n">
        <v>0.39112</v>
      </c>
      <c r="U5" s="4" t="n">
        <f aca="false">IF(P5=$E5,1,0)</f>
        <v>1</v>
      </c>
      <c r="V5" s="4" t="n">
        <f aca="false">IF(OR(P5=$E5,R5=$E5,S5=$E5),1,0)</f>
        <v>1</v>
      </c>
      <c r="W5" s="4" t="n">
        <v>2</v>
      </c>
      <c r="X5" s="9" t="n">
        <f aca="false">-LN(MAX(T5,0.0001))</f>
        <v>0.938740860711747</v>
      </c>
      <c r="Y5" s="4" t="s">
        <v>106</v>
      </c>
      <c r="Z5" s="5" t="n">
        <v>0.55514</v>
      </c>
      <c r="AA5" s="4" t="s">
        <v>114</v>
      </c>
      <c r="AB5" s="4" t="s">
        <v>111</v>
      </c>
      <c r="AC5" s="5" t="n">
        <v>0.55514</v>
      </c>
      <c r="AD5" s="4" t="n">
        <f aca="false">IF(Y5=$E5,1,0)</f>
        <v>1</v>
      </c>
      <c r="AE5" s="4" t="n">
        <f aca="false">IF(OR(Y5=$E5,AA5=$E5,AB5=$E5),1,0)</f>
        <v>1</v>
      </c>
      <c r="AF5" s="4" t="n">
        <v>2</v>
      </c>
      <c r="AG5" s="9" t="n">
        <f aca="false">-LN(MAX(AC5,0.0001))</f>
        <v>0.5885349447937</v>
      </c>
    </row>
    <row r="6" customFormat="false" ht="15" hidden="false" customHeight="false" outlineLevel="0" collapsed="false">
      <c r="A6" s="4" t="n">
        <v>2016</v>
      </c>
      <c r="B6" s="4" t="n">
        <v>5</v>
      </c>
      <c r="C6" s="4" t="s">
        <v>115</v>
      </c>
      <c r="D6" s="4" t="s">
        <v>105</v>
      </c>
      <c r="E6" s="4" t="s">
        <v>116</v>
      </c>
      <c r="F6" s="4" t="n">
        <v>4</v>
      </c>
      <c r="G6" s="4" t="s">
        <v>107</v>
      </c>
      <c r="H6" s="5" t="n">
        <v>0.58098</v>
      </c>
      <c r="I6" s="4" t="s">
        <v>106</v>
      </c>
      <c r="J6" s="4" t="s">
        <v>111</v>
      </c>
      <c r="K6" s="5" t="n">
        <v>0.0046</v>
      </c>
      <c r="L6" s="4" t="n">
        <f aca="false">IF(G6=$E6,1,0)</f>
        <v>0</v>
      </c>
      <c r="M6" s="4" t="n">
        <f aca="false">IF(OR(G6=$E6,I6=$E6,J6=$E6),1,0)</f>
        <v>0</v>
      </c>
      <c r="N6" s="4" t="n">
        <v>1</v>
      </c>
      <c r="O6" s="9" t="n">
        <f aca="false">-LN(MAX(K6,0.0001))</f>
        <v>5.38169897548709</v>
      </c>
      <c r="P6" s="4" t="s">
        <v>107</v>
      </c>
      <c r="Q6" s="5" t="n">
        <v>0.40462</v>
      </c>
      <c r="R6" s="4" t="s">
        <v>106</v>
      </c>
      <c r="S6" s="4" t="s">
        <v>108</v>
      </c>
      <c r="T6" s="5" t="n">
        <v>0.00406</v>
      </c>
      <c r="U6" s="4" t="n">
        <f aca="false">IF(P6=$E6,1,0)</f>
        <v>0</v>
      </c>
      <c r="V6" s="4" t="n">
        <f aca="false">IF(OR(P6=$E6,R6=$E6,S6=$E6),1,0)</f>
        <v>0</v>
      </c>
      <c r="W6" s="4" t="n">
        <v>1</v>
      </c>
      <c r="X6" s="9" t="n">
        <f aca="false">-LN(MAX(T6,0.0001))</f>
        <v>5.5065723053685</v>
      </c>
      <c r="Y6" s="4" t="s">
        <v>107</v>
      </c>
      <c r="Z6" s="5" t="n">
        <v>0.53834</v>
      </c>
      <c r="AA6" s="4" t="s">
        <v>106</v>
      </c>
      <c r="AB6" s="4" t="s">
        <v>112</v>
      </c>
      <c r="AC6" s="5" t="n">
        <v>0.04734</v>
      </c>
      <c r="AD6" s="4" t="n">
        <f aca="false">IF(Y6=$E6,1,0)</f>
        <v>0</v>
      </c>
      <c r="AE6" s="4" t="n">
        <f aca="false">IF(OR(Y6=$E6,AA6=$E6,AB6=$E6),1,0)</f>
        <v>0</v>
      </c>
      <c r="AF6" s="4" t="n">
        <v>0</v>
      </c>
      <c r="AG6" s="9" t="n">
        <f aca="false">-LN(MAX(AC6,0.0001))</f>
        <v>3.0503996748963</v>
      </c>
    </row>
    <row r="7" customFormat="false" ht="15" hidden="false" customHeight="false" outlineLevel="0" collapsed="false">
      <c r="A7" s="4" t="n">
        <v>2016</v>
      </c>
      <c r="B7" s="4" t="n">
        <v>6</v>
      </c>
      <c r="C7" s="4" t="s">
        <v>117</v>
      </c>
      <c r="D7" s="4" t="s">
        <v>105</v>
      </c>
      <c r="E7" s="4" t="s">
        <v>107</v>
      </c>
      <c r="F7" s="4" t="n">
        <v>3</v>
      </c>
      <c r="G7" s="4" t="s">
        <v>106</v>
      </c>
      <c r="H7" s="5" t="n">
        <v>0.45658</v>
      </c>
      <c r="I7" s="4" t="s">
        <v>107</v>
      </c>
      <c r="J7" s="4" t="s">
        <v>112</v>
      </c>
      <c r="K7" s="5" t="n">
        <v>0.24602</v>
      </c>
      <c r="L7" s="4" t="n">
        <f aca="false">IF(G7=$E7,1,0)</f>
        <v>0</v>
      </c>
      <c r="M7" s="4" t="n">
        <f aca="false">IF(OR(G7=$E7,I7=$E7,J7=$E7),1,0)</f>
        <v>1</v>
      </c>
      <c r="N7" s="4" t="n">
        <v>2</v>
      </c>
      <c r="O7" s="9" t="n">
        <f aca="false">-LN(MAX(K7,0.0001))</f>
        <v>1.4023424455415</v>
      </c>
      <c r="P7" s="4" t="s">
        <v>107</v>
      </c>
      <c r="Q7" s="5" t="n">
        <v>0.3918</v>
      </c>
      <c r="R7" s="4" t="s">
        <v>106</v>
      </c>
      <c r="S7" s="4" t="s">
        <v>108</v>
      </c>
      <c r="T7" s="5" t="n">
        <v>0.3918</v>
      </c>
      <c r="U7" s="4" t="n">
        <f aca="false">IF(P7=$E7,1,0)</f>
        <v>1</v>
      </c>
      <c r="V7" s="4" t="n">
        <f aca="false">IF(OR(P7=$E7,R7=$E7,S7=$E7),1,0)</f>
        <v>1</v>
      </c>
      <c r="W7" s="4" t="n">
        <v>1</v>
      </c>
      <c r="X7" s="9" t="n">
        <f aca="false">-LN(MAX(T7,0.0001))</f>
        <v>0.937003773471697</v>
      </c>
      <c r="Y7" s="4" t="s">
        <v>112</v>
      </c>
      <c r="Z7" s="5" t="n">
        <v>0.5361</v>
      </c>
      <c r="AA7" s="4" t="s">
        <v>106</v>
      </c>
      <c r="AB7" s="4" t="s">
        <v>107</v>
      </c>
      <c r="AC7" s="5" t="n">
        <v>0.08926</v>
      </c>
      <c r="AD7" s="4" t="n">
        <f aca="false">IF(Y7=$E7,1,0)</f>
        <v>0</v>
      </c>
      <c r="AE7" s="4" t="n">
        <f aca="false">IF(OR(Y7=$E7,AA7=$E7,AB7=$E7),1,0)</f>
        <v>1</v>
      </c>
      <c r="AF7" s="4" t="n">
        <v>2</v>
      </c>
      <c r="AG7" s="9" t="n">
        <f aca="false">-LN(MAX(AC7,0.0001))</f>
        <v>2.41620181978101</v>
      </c>
    </row>
    <row r="8" customFormat="false" ht="15" hidden="false" customHeight="false" outlineLevel="0" collapsed="false">
      <c r="A8" s="4" t="n">
        <v>2016</v>
      </c>
      <c r="B8" s="4" t="n">
        <v>7</v>
      </c>
      <c r="C8" s="4" t="s">
        <v>118</v>
      </c>
      <c r="D8" s="4" t="s">
        <v>105</v>
      </c>
      <c r="E8" s="4" t="s">
        <v>107</v>
      </c>
      <c r="F8" s="4" t="n">
        <v>1</v>
      </c>
      <c r="G8" s="4" t="s">
        <v>107</v>
      </c>
      <c r="H8" s="5" t="n">
        <v>0.6057</v>
      </c>
      <c r="I8" s="4" t="s">
        <v>106</v>
      </c>
      <c r="J8" s="4" t="s">
        <v>108</v>
      </c>
      <c r="K8" s="5" t="n">
        <v>0.6057</v>
      </c>
      <c r="L8" s="4" t="n">
        <f aca="false">IF(G8=$E8,1,0)</f>
        <v>1</v>
      </c>
      <c r="M8" s="4" t="n">
        <f aca="false">IF(OR(G8=$E8,I8=$E8,J8=$E8),1,0)</f>
        <v>1</v>
      </c>
      <c r="N8" s="4" t="n">
        <v>2</v>
      </c>
      <c r="O8" s="9" t="n">
        <f aca="false">-LN(MAX(K8,0.0001))</f>
        <v>0.501370464995236</v>
      </c>
      <c r="P8" s="4" t="s">
        <v>107</v>
      </c>
      <c r="Q8" s="5" t="n">
        <v>0.47454</v>
      </c>
      <c r="R8" s="4" t="s">
        <v>106</v>
      </c>
      <c r="S8" s="4" t="s">
        <v>108</v>
      </c>
      <c r="T8" s="5" t="n">
        <v>0.47454</v>
      </c>
      <c r="U8" s="4" t="n">
        <f aca="false">IF(P8=$E8,1,0)</f>
        <v>1</v>
      </c>
      <c r="V8" s="4" t="n">
        <f aca="false">IF(OR(P8=$E8,R8=$E8,S8=$E8),1,0)</f>
        <v>1</v>
      </c>
      <c r="W8" s="4" t="n">
        <v>2</v>
      </c>
      <c r="X8" s="9" t="n">
        <f aca="false">-LN(MAX(T8,0.0001))</f>
        <v>0.745409365222756</v>
      </c>
      <c r="Y8" s="4" t="s">
        <v>107</v>
      </c>
      <c r="Z8" s="5" t="n">
        <v>0.52124</v>
      </c>
      <c r="AA8" s="4" t="s">
        <v>106</v>
      </c>
      <c r="AB8" s="4" t="s">
        <v>108</v>
      </c>
      <c r="AC8" s="5" t="n">
        <v>0.52124</v>
      </c>
      <c r="AD8" s="4" t="n">
        <f aca="false">IF(Y8=$E8,1,0)</f>
        <v>1</v>
      </c>
      <c r="AE8" s="4" t="n">
        <f aca="false">IF(OR(Y8=$E8,AA8=$E8,AB8=$E8),1,0)</f>
        <v>1</v>
      </c>
      <c r="AF8" s="4" t="n">
        <v>2</v>
      </c>
      <c r="AG8" s="9" t="n">
        <f aca="false">-LN(MAX(AC8,0.0001))</f>
        <v>0.651544690705432</v>
      </c>
    </row>
    <row r="9" customFormat="false" ht="15" hidden="false" customHeight="false" outlineLevel="0" collapsed="false">
      <c r="A9" s="4" t="n">
        <v>2016</v>
      </c>
      <c r="B9" s="4" t="n">
        <v>8</v>
      </c>
      <c r="C9" s="4" t="s">
        <v>119</v>
      </c>
      <c r="D9" s="4" t="s">
        <v>105</v>
      </c>
      <c r="E9" s="4" t="s">
        <v>106</v>
      </c>
      <c r="F9" s="4" t="n">
        <v>1</v>
      </c>
      <c r="G9" s="4" t="s">
        <v>106</v>
      </c>
      <c r="H9" s="5" t="n">
        <v>0.68042</v>
      </c>
      <c r="I9" s="4" t="s">
        <v>108</v>
      </c>
      <c r="J9" s="4" t="s">
        <v>107</v>
      </c>
      <c r="K9" s="5" t="n">
        <v>0.68042</v>
      </c>
      <c r="L9" s="4" t="n">
        <f aca="false">IF(G9=$E9,1,0)</f>
        <v>1</v>
      </c>
      <c r="M9" s="4" t="n">
        <f aca="false">IF(OR(G9=$E9,I9=$E9,J9=$E9),1,0)</f>
        <v>1</v>
      </c>
      <c r="N9" s="4" t="n">
        <v>2</v>
      </c>
      <c r="O9" s="9" t="n">
        <f aca="false">-LN(MAX(K9,0.0001))</f>
        <v>0.385045024418601</v>
      </c>
      <c r="P9" s="4" t="s">
        <v>107</v>
      </c>
      <c r="Q9" s="5" t="n">
        <v>0.48514</v>
      </c>
      <c r="R9" s="4" t="s">
        <v>106</v>
      </c>
      <c r="S9" s="4" t="s">
        <v>108</v>
      </c>
      <c r="T9" s="5" t="n">
        <v>0.24448</v>
      </c>
      <c r="U9" s="4" t="n">
        <f aca="false">IF(P9=$E9,1,0)</f>
        <v>0</v>
      </c>
      <c r="V9" s="4" t="n">
        <f aca="false">IF(OR(P9=$E9,R9=$E9,S9=$E9),1,0)</f>
        <v>1</v>
      </c>
      <c r="W9" s="4" t="n">
        <v>2</v>
      </c>
      <c r="X9" s="9" t="n">
        <f aca="false">-LN(MAX(T9,0.0001))</f>
        <v>1.40862177300398</v>
      </c>
      <c r="Y9" s="4" t="s">
        <v>106</v>
      </c>
      <c r="Z9" s="5" t="n">
        <v>0.52128</v>
      </c>
      <c r="AA9" s="4" t="s">
        <v>112</v>
      </c>
      <c r="AB9" s="4" t="s">
        <v>108</v>
      </c>
      <c r="AC9" s="5" t="n">
        <v>0.52128</v>
      </c>
      <c r="AD9" s="4" t="n">
        <f aca="false">IF(Y9=$E9,1,0)</f>
        <v>1</v>
      </c>
      <c r="AE9" s="4" t="n">
        <f aca="false">IF(OR(Y9=$E9,AA9=$E9,AB9=$E9),1,0)</f>
        <v>1</v>
      </c>
      <c r="AF9" s="4" t="n">
        <v>2</v>
      </c>
      <c r="AG9" s="9" t="n">
        <f aca="false">-LN(MAX(AC9,0.0001))</f>
        <v>0.651467953568457</v>
      </c>
    </row>
    <row r="10" customFormat="false" ht="15" hidden="false" customHeight="false" outlineLevel="0" collapsed="false">
      <c r="A10" s="4" t="n">
        <v>2016</v>
      </c>
      <c r="B10" s="4" t="n">
        <v>9</v>
      </c>
      <c r="C10" s="4" t="s">
        <v>120</v>
      </c>
      <c r="D10" s="4" t="s">
        <v>105</v>
      </c>
      <c r="E10" s="4" t="s">
        <v>107</v>
      </c>
      <c r="F10" s="4" t="n">
        <v>1</v>
      </c>
      <c r="G10" s="4" t="s">
        <v>107</v>
      </c>
      <c r="H10" s="5" t="n">
        <v>0.68428</v>
      </c>
      <c r="I10" s="4" t="s">
        <v>106</v>
      </c>
      <c r="J10" s="4" t="s">
        <v>108</v>
      </c>
      <c r="K10" s="5" t="n">
        <v>0.68428</v>
      </c>
      <c r="L10" s="4" t="n">
        <f aca="false">IF(G10=$E10,1,0)</f>
        <v>1</v>
      </c>
      <c r="M10" s="4" t="n">
        <f aca="false">IF(OR(G10=$E10,I10=$E10,J10=$E10),1,0)</f>
        <v>1</v>
      </c>
      <c r="N10" s="4" t="n">
        <v>1</v>
      </c>
      <c r="O10" s="9" t="n">
        <f aca="false">-LN(MAX(K10,0.0001))</f>
        <v>0.379388088398046</v>
      </c>
      <c r="P10" s="4" t="s">
        <v>107</v>
      </c>
      <c r="Q10" s="5" t="n">
        <v>0.42928</v>
      </c>
      <c r="R10" s="4" t="s">
        <v>106</v>
      </c>
      <c r="S10" s="4" t="s">
        <v>108</v>
      </c>
      <c r="T10" s="5" t="n">
        <v>0.42928</v>
      </c>
      <c r="U10" s="4" t="n">
        <f aca="false">IF(P10=$E10,1,0)</f>
        <v>1</v>
      </c>
      <c r="V10" s="4" t="n">
        <f aca="false">IF(OR(P10=$E10,R10=$E10,S10=$E10),1,0)</f>
        <v>1</v>
      </c>
      <c r="W10" s="4" t="n">
        <v>1</v>
      </c>
      <c r="X10" s="9" t="n">
        <f aca="false">-LN(MAX(T10,0.0001))</f>
        <v>0.845645892304823</v>
      </c>
      <c r="Y10" s="4" t="s">
        <v>107</v>
      </c>
      <c r="Z10" s="5" t="n">
        <v>0.52786</v>
      </c>
      <c r="AA10" s="4" t="s">
        <v>121</v>
      </c>
      <c r="AB10" s="4" t="s">
        <v>122</v>
      </c>
      <c r="AC10" s="5" t="n">
        <v>0.52786</v>
      </c>
      <c r="AD10" s="4" t="n">
        <f aca="false">IF(Y10=$E10,1,0)</f>
        <v>1</v>
      </c>
      <c r="AE10" s="4" t="n">
        <f aca="false">IF(OR(Y10=$E10,AA10=$E10,AB10=$E10),1,0)</f>
        <v>1</v>
      </c>
      <c r="AF10" s="4" t="n">
        <v>1</v>
      </c>
      <c r="AG10" s="9" t="n">
        <f aca="false">-LN(MAX(AC10,0.0001))</f>
        <v>0.638924181949905</v>
      </c>
    </row>
    <row r="11" customFormat="false" ht="15" hidden="false" customHeight="false" outlineLevel="0" collapsed="false">
      <c r="A11" s="4" t="n">
        <v>2016</v>
      </c>
      <c r="B11" s="4" t="n">
        <v>10</v>
      </c>
      <c r="C11" s="4" t="s">
        <v>123</v>
      </c>
      <c r="D11" s="4" t="s">
        <v>105</v>
      </c>
      <c r="E11" s="4" t="s">
        <v>107</v>
      </c>
      <c r="F11" s="4" t="n">
        <v>1</v>
      </c>
      <c r="G11" s="4" t="s">
        <v>107</v>
      </c>
      <c r="H11" s="5" t="n">
        <v>0.66742</v>
      </c>
      <c r="I11" s="4" t="s">
        <v>106</v>
      </c>
      <c r="J11" s="4" t="s">
        <v>116</v>
      </c>
      <c r="K11" s="5" t="n">
        <v>0.66742</v>
      </c>
      <c r="L11" s="4" t="n">
        <f aca="false">IF(G11=$E11,1,0)</f>
        <v>1</v>
      </c>
      <c r="M11" s="4" t="n">
        <f aca="false">IF(OR(G11=$E11,I11=$E11,J11=$E11),1,0)</f>
        <v>1</v>
      </c>
      <c r="N11" s="4" t="n">
        <v>3</v>
      </c>
      <c r="O11" s="9" t="n">
        <f aca="false">-LN(MAX(K11,0.0001))</f>
        <v>0.404335746077606</v>
      </c>
      <c r="P11" s="4" t="s">
        <v>107</v>
      </c>
      <c r="Q11" s="5" t="n">
        <v>0.47818</v>
      </c>
      <c r="R11" s="4" t="s">
        <v>106</v>
      </c>
      <c r="S11" s="4" t="s">
        <v>108</v>
      </c>
      <c r="T11" s="5" t="n">
        <v>0.47818</v>
      </c>
      <c r="U11" s="4" t="n">
        <f aca="false">IF(P11=$E11,1,0)</f>
        <v>1</v>
      </c>
      <c r="V11" s="4" t="n">
        <f aca="false">IF(OR(P11=$E11,R11=$E11,S11=$E11),1,0)</f>
        <v>1</v>
      </c>
      <c r="W11" s="4" t="n">
        <v>2</v>
      </c>
      <c r="X11" s="9" t="n">
        <f aca="false">-LN(MAX(T11,0.0001))</f>
        <v>0.73776804833735</v>
      </c>
      <c r="Y11" s="4" t="s">
        <v>107</v>
      </c>
      <c r="Z11" s="5" t="n">
        <v>0.5276</v>
      </c>
      <c r="AA11" s="4" t="s">
        <v>106</v>
      </c>
      <c r="AB11" s="4" t="s">
        <v>116</v>
      </c>
      <c r="AC11" s="5" t="n">
        <v>0.5276</v>
      </c>
      <c r="AD11" s="4" t="n">
        <f aca="false">IF(Y11=$E11,1,0)</f>
        <v>1</v>
      </c>
      <c r="AE11" s="4" t="n">
        <f aca="false">IF(OR(Y11=$E11,AA11=$E11,AB11=$E11),1,0)</f>
        <v>1</v>
      </c>
      <c r="AF11" s="4" t="n">
        <v>3</v>
      </c>
      <c r="AG11" s="9" t="n">
        <f aca="false">-LN(MAX(AC11,0.0001))</f>
        <v>0.639416858138978</v>
      </c>
    </row>
    <row r="12" customFormat="false" ht="15" hidden="false" customHeight="false" outlineLevel="0" collapsed="false">
      <c r="A12" s="4" t="n">
        <v>2016</v>
      </c>
      <c r="B12" s="4" t="n">
        <v>11</v>
      </c>
      <c r="C12" s="4" t="s">
        <v>124</v>
      </c>
      <c r="D12" s="4" t="s">
        <v>105</v>
      </c>
      <c r="E12" s="4" t="s">
        <v>107</v>
      </c>
      <c r="F12" s="4" t="n">
        <v>2</v>
      </c>
      <c r="G12" s="4" t="s">
        <v>106</v>
      </c>
      <c r="H12" s="5" t="n">
        <v>0.5492</v>
      </c>
      <c r="I12" s="4" t="s">
        <v>107</v>
      </c>
      <c r="J12" s="4" t="s">
        <v>112</v>
      </c>
      <c r="K12" s="5" t="n">
        <v>0.33414</v>
      </c>
      <c r="L12" s="4" t="n">
        <f aca="false">IF(G12=$E12,1,0)</f>
        <v>0</v>
      </c>
      <c r="M12" s="4" t="n">
        <f aca="false">IF(OR(G12=$E12,I12=$E12,J12=$E12),1,0)</f>
        <v>1</v>
      </c>
      <c r="N12" s="4" t="n">
        <v>3</v>
      </c>
      <c r="O12" s="9" t="n">
        <f aca="false">-LN(MAX(K12,0.0001))</f>
        <v>1.09619521215251</v>
      </c>
      <c r="P12" s="4" t="s">
        <v>107</v>
      </c>
      <c r="Q12" s="5" t="n">
        <v>0.51082</v>
      </c>
      <c r="R12" s="4" t="s">
        <v>106</v>
      </c>
      <c r="S12" s="4" t="s">
        <v>108</v>
      </c>
      <c r="T12" s="5" t="n">
        <v>0.51082</v>
      </c>
      <c r="U12" s="4" t="n">
        <f aca="false">IF(P12=$E12,1,0)</f>
        <v>1</v>
      </c>
      <c r="V12" s="4" t="n">
        <f aca="false">IF(OR(P12=$E12,R12=$E12,S12=$E12),1,0)</f>
        <v>1</v>
      </c>
      <c r="W12" s="4" t="n">
        <v>2</v>
      </c>
      <c r="X12" s="9" t="n">
        <f aca="false">-LN(MAX(T12,0.0001))</f>
        <v>0.671738001322446</v>
      </c>
      <c r="Y12" s="4" t="s">
        <v>106</v>
      </c>
      <c r="Z12" s="5" t="n">
        <v>0.52934</v>
      </c>
      <c r="AA12" s="4" t="s">
        <v>107</v>
      </c>
      <c r="AB12" s="4" t="s">
        <v>112</v>
      </c>
      <c r="AC12" s="5" t="n">
        <v>0.19986</v>
      </c>
      <c r="AD12" s="4" t="n">
        <f aca="false">IF(Y12=$E12,1,0)</f>
        <v>0</v>
      </c>
      <c r="AE12" s="4" t="n">
        <f aca="false">IF(OR(Y12=$E12,AA12=$E12,AB12=$E12),1,0)</f>
        <v>1</v>
      </c>
      <c r="AF12" s="4" t="n">
        <v>3</v>
      </c>
      <c r="AG12" s="9" t="n">
        <f aca="false">-LN(MAX(AC12,0.0001))</f>
        <v>1.61013815754849</v>
      </c>
    </row>
    <row r="13" customFormat="false" ht="15" hidden="false" customHeight="false" outlineLevel="0" collapsed="false">
      <c r="A13" s="4" t="n">
        <v>2016</v>
      </c>
      <c r="B13" s="4" t="n">
        <v>12</v>
      </c>
      <c r="C13" s="4" t="s">
        <v>125</v>
      </c>
      <c r="D13" s="4" t="s">
        <v>105</v>
      </c>
      <c r="E13" s="4" t="s">
        <v>107</v>
      </c>
      <c r="F13" s="4" t="n">
        <v>2</v>
      </c>
      <c r="G13" s="4" t="s">
        <v>106</v>
      </c>
      <c r="H13" s="5" t="n">
        <v>0.55716</v>
      </c>
      <c r="I13" s="4" t="s">
        <v>107</v>
      </c>
      <c r="J13" s="4" t="s">
        <v>112</v>
      </c>
      <c r="K13" s="5" t="n">
        <v>0.32704</v>
      </c>
      <c r="L13" s="4" t="n">
        <f aca="false">IF(G13=$E13,1,0)</f>
        <v>0</v>
      </c>
      <c r="M13" s="4" t="n">
        <f aca="false">IF(OR(G13=$E13,I13=$E13,J13=$E13),1,0)</f>
        <v>1</v>
      </c>
      <c r="N13" s="4" t="n">
        <v>2</v>
      </c>
      <c r="O13" s="9" t="n">
        <f aca="false">-LN(MAX(K13,0.0001))</f>
        <v>1.11767279140685</v>
      </c>
      <c r="P13" s="4" t="s">
        <v>107</v>
      </c>
      <c r="Q13" s="5" t="n">
        <v>0.5481</v>
      </c>
      <c r="R13" s="4" t="s">
        <v>106</v>
      </c>
      <c r="S13" s="4" t="s">
        <v>108</v>
      </c>
      <c r="T13" s="5" t="n">
        <v>0.5481</v>
      </c>
      <c r="U13" s="4" t="n">
        <f aca="false">IF(P13=$E13,1,0)</f>
        <v>1</v>
      </c>
      <c r="V13" s="4" t="n">
        <f aca="false">IF(OR(P13=$E13,R13=$E13,S13=$E13),1,0)</f>
        <v>1</v>
      </c>
      <c r="W13" s="4" t="n">
        <v>1</v>
      </c>
      <c r="X13" s="9" t="n">
        <f aca="false">-LN(MAX(T13,0.0001))</f>
        <v>0.601297526930066</v>
      </c>
      <c r="Y13" s="4" t="s">
        <v>106</v>
      </c>
      <c r="Z13" s="5" t="n">
        <v>0.53826</v>
      </c>
      <c r="AA13" s="4" t="s">
        <v>107</v>
      </c>
      <c r="AB13" s="4" t="s">
        <v>112</v>
      </c>
      <c r="AC13" s="5" t="n">
        <v>0.20048</v>
      </c>
      <c r="AD13" s="4" t="n">
        <f aca="false">IF(Y13=$E13,1,0)</f>
        <v>0</v>
      </c>
      <c r="AE13" s="4" t="n">
        <f aca="false">IF(OR(Y13=$E13,AA13=$E13,AB13=$E13),1,0)</f>
        <v>1</v>
      </c>
      <c r="AF13" s="4" t="n">
        <v>2</v>
      </c>
      <c r="AG13" s="9" t="n">
        <f aca="false">-LN(MAX(AC13,0.0001))</f>
        <v>1.60704078783438</v>
      </c>
    </row>
    <row r="14" customFormat="false" ht="15" hidden="false" customHeight="false" outlineLevel="0" collapsed="false">
      <c r="A14" s="4" t="n">
        <v>2016</v>
      </c>
      <c r="B14" s="4" t="n">
        <v>13</v>
      </c>
      <c r="C14" s="4" t="s">
        <v>126</v>
      </c>
      <c r="D14" s="4" t="s">
        <v>105</v>
      </c>
      <c r="E14" s="4" t="s">
        <v>106</v>
      </c>
      <c r="F14" s="4" t="n">
        <v>1</v>
      </c>
      <c r="G14" s="4" t="s">
        <v>106</v>
      </c>
      <c r="H14" s="5" t="n">
        <v>0.6356</v>
      </c>
      <c r="I14" s="4" t="s">
        <v>116</v>
      </c>
      <c r="J14" s="4" t="s">
        <v>112</v>
      </c>
      <c r="K14" s="5" t="n">
        <v>0.6356</v>
      </c>
      <c r="L14" s="4" t="n">
        <f aca="false">IF(G14=$E14,1,0)</f>
        <v>1</v>
      </c>
      <c r="M14" s="4" t="n">
        <f aca="false">IF(OR(G14=$E14,I14=$E14,J14=$E14),1,0)</f>
        <v>1</v>
      </c>
      <c r="N14" s="4" t="n">
        <v>2</v>
      </c>
      <c r="O14" s="9" t="n">
        <f aca="false">-LN(MAX(K14,0.0001))</f>
        <v>0.453185844319576</v>
      </c>
      <c r="P14" s="4" t="s">
        <v>107</v>
      </c>
      <c r="Q14" s="5" t="n">
        <v>0.55082</v>
      </c>
      <c r="R14" s="4" t="s">
        <v>106</v>
      </c>
      <c r="S14" s="4" t="s">
        <v>108</v>
      </c>
      <c r="T14" s="5" t="n">
        <v>0.28312</v>
      </c>
      <c r="U14" s="4" t="n">
        <f aca="false">IF(P14=$E14,1,0)</f>
        <v>0</v>
      </c>
      <c r="V14" s="4" t="n">
        <f aca="false">IF(OR(P14=$E14,R14=$E14,S14=$E14),1,0)</f>
        <v>1</v>
      </c>
      <c r="W14" s="4" t="n">
        <v>3</v>
      </c>
      <c r="X14" s="9" t="n">
        <f aca="false">-LN(MAX(T14,0.0001))</f>
        <v>1.26188444294493</v>
      </c>
      <c r="Y14" s="4" t="s">
        <v>106</v>
      </c>
      <c r="Z14" s="5" t="n">
        <v>0.54376</v>
      </c>
      <c r="AA14" s="4" t="s">
        <v>116</v>
      </c>
      <c r="AB14" s="4" t="s">
        <v>111</v>
      </c>
      <c r="AC14" s="5" t="n">
        <v>0.54376</v>
      </c>
      <c r="AD14" s="4" t="n">
        <f aca="false">IF(Y14=$E14,1,0)</f>
        <v>1</v>
      </c>
      <c r="AE14" s="4" t="n">
        <f aca="false">IF(OR(Y14=$E14,AA14=$E14,AB14=$E14),1,0)</f>
        <v>1</v>
      </c>
      <c r="AF14" s="4" t="n">
        <v>1</v>
      </c>
      <c r="AG14" s="9" t="n">
        <f aca="false">-LN(MAX(AC14,0.0001))</f>
        <v>0.609247305943754</v>
      </c>
    </row>
    <row r="15" customFormat="false" ht="15" hidden="false" customHeight="false" outlineLevel="0" collapsed="false">
      <c r="A15" s="4" t="n">
        <v>2016</v>
      </c>
      <c r="B15" s="4" t="n">
        <v>14</v>
      </c>
      <c r="C15" s="4" t="s">
        <v>127</v>
      </c>
      <c r="D15" s="4" t="s">
        <v>105</v>
      </c>
      <c r="E15" s="4" t="s">
        <v>106</v>
      </c>
      <c r="F15" s="4" t="n">
        <v>2</v>
      </c>
      <c r="G15" s="4" t="s">
        <v>107</v>
      </c>
      <c r="H15" s="5" t="n">
        <v>0.6612</v>
      </c>
      <c r="I15" s="4" t="s">
        <v>106</v>
      </c>
      <c r="J15" s="4" t="s">
        <v>112</v>
      </c>
      <c r="K15" s="5" t="n">
        <v>0.2328</v>
      </c>
      <c r="L15" s="4" t="n">
        <f aca="false">IF(G15=$E15,1,0)</f>
        <v>0</v>
      </c>
      <c r="M15" s="4" t="n">
        <f aca="false">IF(OR(G15=$E15,I15=$E15,J15=$E15),1,0)</f>
        <v>1</v>
      </c>
      <c r="N15" s="4" t="n">
        <v>2</v>
      </c>
      <c r="O15" s="9" t="n">
        <f aca="false">-LN(MAX(K15,0.0001))</f>
        <v>1.45757556312485</v>
      </c>
      <c r="P15" s="4" t="s">
        <v>107</v>
      </c>
      <c r="Q15" s="5" t="n">
        <v>0.47958</v>
      </c>
      <c r="R15" s="4" t="s">
        <v>106</v>
      </c>
      <c r="S15" s="4" t="s">
        <v>112</v>
      </c>
      <c r="T15" s="5" t="n">
        <v>0.30246</v>
      </c>
      <c r="U15" s="4" t="n">
        <f aca="false">IF(P15=$E15,1,0)</f>
        <v>0</v>
      </c>
      <c r="V15" s="4" t="n">
        <f aca="false">IF(OR(P15=$E15,R15=$E15,S15=$E15),1,0)</f>
        <v>1</v>
      </c>
      <c r="W15" s="4" t="n">
        <v>2</v>
      </c>
      <c r="X15" s="9" t="n">
        <f aca="false">-LN(MAX(T15,0.0001))</f>
        <v>1.19580624165954</v>
      </c>
      <c r="Y15" s="4" t="s">
        <v>107</v>
      </c>
      <c r="Z15" s="5" t="n">
        <v>0.53822</v>
      </c>
      <c r="AA15" s="4" t="s">
        <v>106</v>
      </c>
      <c r="AB15" s="4" t="s">
        <v>108</v>
      </c>
      <c r="AC15" s="5" t="n">
        <v>0.20048</v>
      </c>
      <c r="AD15" s="4" t="n">
        <f aca="false">IF(Y15=$E15,1,0)</f>
        <v>0</v>
      </c>
      <c r="AE15" s="4" t="n">
        <f aca="false">IF(OR(Y15=$E15,AA15=$E15,AB15=$E15),1,0)</f>
        <v>1</v>
      </c>
      <c r="AF15" s="4" t="n">
        <v>3</v>
      </c>
      <c r="AG15" s="9" t="n">
        <f aca="false">-LN(MAX(AC15,0.0001))</f>
        <v>1.60704078783438</v>
      </c>
    </row>
    <row r="16" customFormat="false" ht="15" hidden="false" customHeight="false" outlineLevel="0" collapsed="false">
      <c r="A16" s="4" t="n">
        <v>2016</v>
      </c>
      <c r="B16" s="4" t="n">
        <v>15</v>
      </c>
      <c r="C16" s="4" t="s">
        <v>128</v>
      </c>
      <c r="D16" s="4" t="s">
        <v>105</v>
      </c>
      <c r="E16" s="4" t="s">
        <v>106</v>
      </c>
      <c r="F16" s="4" t="n">
        <v>1</v>
      </c>
      <c r="G16" s="4" t="s">
        <v>106</v>
      </c>
      <c r="H16" s="5" t="n">
        <v>0.66142</v>
      </c>
      <c r="I16" s="4" t="s">
        <v>107</v>
      </c>
      <c r="J16" s="4" t="s">
        <v>112</v>
      </c>
      <c r="K16" s="5" t="n">
        <v>0.66142</v>
      </c>
      <c r="L16" s="4" t="n">
        <f aca="false">IF(G16=$E16,1,0)</f>
        <v>1</v>
      </c>
      <c r="M16" s="4" t="n">
        <f aca="false">IF(OR(G16=$E16,I16=$E16,J16=$E16),1,0)</f>
        <v>1</v>
      </c>
      <c r="N16" s="4" t="n">
        <v>3</v>
      </c>
      <c r="O16" s="9" t="n">
        <f aca="false">-LN(MAX(K16,0.0001))</f>
        <v>0.413366240004422</v>
      </c>
      <c r="P16" s="4" t="s">
        <v>107</v>
      </c>
      <c r="Q16" s="5" t="n">
        <v>0.47206</v>
      </c>
      <c r="R16" s="4" t="s">
        <v>106</v>
      </c>
      <c r="S16" s="4" t="s">
        <v>108</v>
      </c>
      <c r="T16" s="5" t="n">
        <v>0.32712</v>
      </c>
      <c r="U16" s="4" t="n">
        <f aca="false">IF(P16=$E16,1,0)</f>
        <v>0</v>
      </c>
      <c r="V16" s="4" t="n">
        <f aca="false">IF(OR(P16=$E16,R16=$E16,S16=$E16),1,0)</f>
        <v>1</v>
      </c>
      <c r="W16" s="4" t="n">
        <v>2</v>
      </c>
      <c r="X16" s="9" t="n">
        <f aca="false">-LN(MAX(T16,0.0001))</f>
        <v>1.11742820292575</v>
      </c>
      <c r="Y16" s="4" t="s">
        <v>106</v>
      </c>
      <c r="Z16" s="5" t="n">
        <v>0.53808</v>
      </c>
      <c r="AA16" s="4" t="s">
        <v>112</v>
      </c>
      <c r="AB16" s="4" t="s">
        <v>107</v>
      </c>
      <c r="AC16" s="5" t="n">
        <v>0.53808</v>
      </c>
      <c r="AD16" s="4" t="n">
        <f aca="false">IF(Y16=$E16,1,0)</f>
        <v>1</v>
      </c>
      <c r="AE16" s="4" t="n">
        <f aca="false">IF(OR(Y16=$E16,AA16=$E16,AB16=$E16),1,0)</f>
        <v>1</v>
      </c>
      <c r="AF16" s="4" t="n">
        <v>3</v>
      </c>
      <c r="AG16" s="9" t="n">
        <f aca="false">-LN(MAX(AC16,0.0001))</f>
        <v>0.619748030990178</v>
      </c>
    </row>
    <row r="17" customFormat="false" ht="15" hidden="false" customHeight="false" outlineLevel="0" collapsed="false">
      <c r="A17" s="4" t="n">
        <v>2016</v>
      </c>
      <c r="B17" s="4" t="n">
        <v>16</v>
      </c>
      <c r="C17" s="4" t="s">
        <v>129</v>
      </c>
      <c r="D17" s="4" t="s">
        <v>105</v>
      </c>
      <c r="E17" s="4" t="s">
        <v>112</v>
      </c>
      <c r="F17" s="4" t="n">
        <v>4</v>
      </c>
      <c r="G17" s="4" t="s">
        <v>107</v>
      </c>
      <c r="H17" s="5" t="n">
        <v>0.5745</v>
      </c>
      <c r="I17" s="4" t="s">
        <v>106</v>
      </c>
      <c r="J17" s="4" t="s">
        <v>112</v>
      </c>
      <c r="K17" s="5" t="n">
        <v>0.06328</v>
      </c>
      <c r="L17" s="4" t="n">
        <f aca="false">IF(G17=$E17,1,0)</f>
        <v>0</v>
      </c>
      <c r="M17" s="4" t="n">
        <f aca="false">IF(OR(G17=$E17,I17=$E17,J17=$E17),1,0)</f>
        <v>1</v>
      </c>
      <c r="N17" s="4" t="n">
        <v>2</v>
      </c>
      <c r="O17" s="9" t="n">
        <f aca="false">-LN(MAX(K17,0.0001))</f>
        <v>2.76018595552274</v>
      </c>
      <c r="P17" s="4" t="s">
        <v>107</v>
      </c>
      <c r="Q17" s="5" t="n">
        <v>0.45682</v>
      </c>
      <c r="R17" s="4" t="s">
        <v>106</v>
      </c>
      <c r="S17" s="4" t="s">
        <v>112</v>
      </c>
      <c r="T17" s="5" t="n">
        <v>0.06274</v>
      </c>
      <c r="U17" s="4" t="n">
        <f aca="false">IF(P17=$E17,1,0)</f>
        <v>0</v>
      </c>
      <c r="V17" s="4" t="n">
        <f aca="false">IF(OR(P17=$E17,R17=$E17,S17=$E17),1,0)</f>
        <v>1</v>
      </c>
      <c r="W17" s="4" t="n">
        <v>2</v>
      </c>
      <c r="X17" s="9" t="n">
        <f aca="false">-LN(MAX(T17,0.0001))</f>
        <v>2.76875607621961</v>
      </c>
      <c r="Y17" s="4" t="s">
        <v>107</v>
      </c>
      <c r="Z17" s="5" t="n">
        <v>0.53576</v>
      </c>
      <c r="AA17" s="4" t="s">
        <v>106</v>
      </c>
      <c r="AB17" s="4" t="s">
        <v>116</v>
      </c>
      <c r="AC17" s="5" t="n">
        <v>0.05106</v>
      </c>
      <c r="AD17" s="4" t="n">
        <f aca="false">IF(Y17=$E17,1,0)</f>
        <v>0</v>
      </c>
      <c r="AE17" s="4" t="n">
        <f aca="false">IF(OR(Y17=$E17,AA17=$E17,AB17=$E17),1,0)</f>
        <v>0</v>
      </c>
      <c r="AF17" s="4" t="n">
        <v>2</v>
      </c>
      <c r="AG17" s="9" t="n">
        <f aca="false">-LN(MAX(AC17,0.0001))</f>
        <v>2.9747538671688</v>
      </c>
    </row>
    <row r="18" customFormat="false" ht="15" hidden="false" customHeight="false" outlineLevel="0" collapsed="false">
      <c r="A18" s="4" t="n">
        <v>2016</v>
      </c>
      <c r="B18" s="4" t="n">
        <v>17</v>
      </c>
      <c r="C18" s="4" t="s">
        <v>130</v>
      </c>
      <c r="D18" s="4" t="s">
        <v>105</v>
      </c>
      <c r="E18" s="4" t="s">
        <v>106</v>
      </c>
      <c r="F18" s="4" t="n">
        <v>1</v>
      </c>
      <c r="G18" s="4" t="s">
        <v>106</v>
      </c>
      <c r="H18" s="5" t="n">
        <v>0.65554</v>
      </c>
      <c r="I18" s="4" t="s">
        <v>107</v>
      </c>
      <c r="J18" s="4" t="s">
        <v>112</v>
      </c>
      <c r="K18" s="5" t="n">
        <v>0.65554</v>
      </c>
      <c r="L18" s="4" t="n">
        <f aca="false">IF(G18=$E18,1,0)</f>
        <v>1</v>
      </c>
      <c r="M18" s="4" t="n">
        <f aca="false">IF(OR(G18=$E18,I18=$E18,J18=$E18),1,0)</f>
        <v>1</v>
      </c>
      <c r="N18" s="4" t="n">
        <v>2</v>
      </c>
      <c r="O18" s="9" t="n">
        <f aca="false">-LN(MAX(K18,0.0001))</f>
        <v>0.422295955519638</v>
      </c>
      <c r="P18" s="4" t="s">
        <v>106</v>
      </c>
      <c r="Q18" s="5" t="n">
        <v>0.41612</v>
      </c>
      <c r="R18" s="4" t="s">
        <v>107</v>
      </c>
      <c r="S18" s="4" t="s">
        <v>112</v>
      </c>
      <c r="T18" s="5" t="n">
        <v>0.41612</v>
      </c>
      <c r="U18" s="4" t="n">
        <f aca="false">IF(P18=$E18,1,0)</f>
        <v>1</v>
      </c>
      <c r="V18" s="4" t="n">
        <f aca="false">IF(OR(P18=$E18,R18=$E18,S18=$E18),1,0)</f>
        <v>1</v>
      </c>
      <c r="W18" s="4" t="n">
        <v>2</v>
      </c>
      <c r="X18" s="9" t="n">
        <f aca="false">-LN(MAX(T18,0.0001))</f>
        <v>0.876781598779443</v>
      </c>
      <c r="Y18" s="4" t="s">
        <v>106</v>
      </c>
      <c r="Z18" s="5" t="n">
        <v>0.52304</v>
      </c>
      <c r="AA18" s="4" t="s">
        <v>107</v>
      </c>
      <c r="AB18" s="4" t="s">
        <v>116</v>
      </c>
      <c r="AC18" s="5" t="n">
        <v>0.52304</v>
      </c>
      <c r="AD18" s="4" t="n">
        <f aca="false">IF(Y18=$E18,1,0)</f>
        <v>1</v>
      </c>
      <c r="AE18" s="4" t="n">
        <f aca="false">IF(OR(Y18=$E18,AA18=$E18,AB18=$E18),1,0)</f>
        <v>1</v>
      </c>
      <c r="AF18" s="4" t="n">
        <v>3</v>
      </c>
      <c r="AG18" s="9" t="n">
        <f aca="false">-LN(MAX(AC18,0.0001))</f>
        <v>0.648097336006237</v>
      </c>
    </row>
    <row r="19" customFormat="false" ht="15" hidden="false" customHeight="false" outlineLevel="0" collapsed="false">
      <c r="A19" s="4" t="n">
        <v>2016</v>
      </c>
      <c r="B19" s="4" t="n">
        <v>18</v>
      </c>
      <c r="C19" s="4" t="s">
        <v>131</v>
      </c>
      <c r="D19" s="4" t="s">
        <v>105</v>
      </c>
      <c r="E19" s="4" t="s">
        <v>107</v>
      </c>
      <c r="F19" s="4" t="n">
        <v>1</v>
      </c>
      <c r="G19" s="4" t="s">
        <v>107</v>
      </c>
      <c r="H19" s="5" t="n">
        <v>0.3944</v>
      </c>
      <c r="I19" s="4" t="s">
        <v>106</v>
      </c>
      <c r="J19" s="4" t="s">
        <v>112</v>
      </c>
      <c r="K19" s="5" t="n">
        <v>0.3944</v>
      </c>
      <c r="L19" s="4" t="n">
        <f aca="false">IF(G19=$E19,1,0)</f>
        <v>1</v>
      </c>
      <c r="M19" s="4" t="n">
        <f aca="false">IF(OR(G19=$E19,I19=$E19,J19=$E19),1,0)</f>
        <v>1</v>
      </c>
      <c r="N19" s="4" t="n">
        <v>3</v>
      </c>
      <c r="O19" s="9" t="n">
        <f aca="false">-LN(MAX(K19,0.0001))</f>
        <v>0.930389656253657</v>
      </c>
      <c r="P19" s="4" t="s">
        <v>106</v>
      </c>
      <c r="Q19" s="5" t="n">
        <v>0.3981</v>
      </c>
      <c r="R19" s="4" t="s">
        <v>107</v>
      </c>
      <c r="S19" s="4" t="s">
        <v>112</v>
      </c>
      <c r="T19" s="5" t="n">
        <v>0.35236</v>
      </c>
      <c r="U19" s="4" t="n">
        <f aca="false">IF(P19=$E19,1,0)</f>
        <v>0</v>
      </c>
      <c r="V19" s="4" t="n">
        <f aca="false">IF(OR(P19=$E19,R19=$E19,S19=$E19),1,0)</f>
        <v>1</v>
      </c>
      <c r="W19" s="4" t="n">
        <v>3</v>
      </c>
      <c r="X19" s="9" t="n">
        <f aca="false">-LN(MAX(T19,0.0001))</f>
        <v>1.04310189874054</v>
      </c>
      <c r="Y19" s="4" t="s">
        <v>107</v>
      </c>
      <c r="Z19" s="5" t="n">
        <v>0.522</v>
      </c>
      <c r="AA19" s="4" t="s">
        <v>106</v>
      </c>
      <c r="AB19" s="4" t="s">
        <v>112</v>
      </c>
      <c r="AC19" s="5" t="n">
        <v>0.522</v>
      </c>
      <c r="AD19" s="4" t="n">
        <f aca="false">IF(Y19=$E19,1,0)</f>
        <v>1</v>
      </c>
      <c r="AE19" s="4" t="n">
        <f aca="false">IF(OR(Y19=$E19,AA19=$E19,AB19=$E19),1,0)</f>
        <v>1</v>
      </c>
      <c r="AF19" s="4" t="n">
        <v>3</v>
      </c>
      <c r="AG19" s="9" t="n">
        <f aca="false">-LN(MAX(AC19,0.0001))</f>
        <v>0.650087691099498</v>
      </c>
    </row>
    <row r="20" customFormat="false" ht="15" hidden="false" customHeight="false" outlineLevel="0" collapsed="false">
      <c r="A20" s="4" t="n">
        <v>2016</v>
      </c>
      <c r="B20" s="4" t="n">
        <v>19</v>
      </c>
      <c r="C20" s="4" t="s">
        <v>132</v>
      </c>
      <c r="D20" s="4" t="s">
        <v>105</v>
      </c>
      <c r="E20" s="4" t="s">
        <v>107</v>
      </c>
      <c r="F20" s="4" t="n">
        <v>1</v>
      </c>
      <c r="G20" s="4" t="s">
        <v>107</v>
      </c>
      <c r="H20" s="5" t="n">
        <v>0.4764</v>
      </c>
      <c r="I20" s="4" t="s">
        <v>106</v>
      </c>
      <c r="J20" s="4" t="s">
        <v>112</v>
      </c>
      <c r="K20" s="5" t="n">
        <v>0.4764</v>
      </c>
      <c r="L20" s="4" t="n">
        <f aca="false">IF(G20=$E20,1,0)</f>
        <v>1</v>
      </c>
      <c r="M20" s="4" t="n">
        <f aca="false">IF(OR(G20=$E20,I20=$E20,J20=$E20),1,0)</f>
        <v>1</v>
      </c>
      <c r="N20" s="4" t="n">
        <v>3</v>
      </c>
      <c r="O20" s="9" t="n">
        <f aca="false">-LN(MAX(K20,0.0001))</f>
        <v>0.741497441500992</v>
      </c>
      <c r="P20" s="4" t="s">
        <v>107</v>
      </c>
      <c r="Q20" s="5" t="n">
        <v>0.3999</v>
      </c>
      <c r="R20" s="4" t="s">
        <v>106</v>
      </c>
      <c r="S20" s="4" t="s">
        <v>112</v>
      </c>
      <c r="T20" s="5" t="n">
        <v>0.3999</v>
      </c>
      <c r="U20" s="4" t="n">
        <f aca="false">IF(P20=$E20,1,0)</f>
        <v>1</v>
      </c>
      <c r="V20" s="4" t="n">
        <f aca="false">IF(OR(P20=$E20,R20=$E20,S20=$E20),1,0)</f>
        <v>1</v>
      </c>
      <c r="W20" s="4" t="n">
        <v>3</v>
      </c>
      <c r="X20" s="9" t="n">
        <f aca="false">-LN(MAX(T20,0.0001))</f>
        <v>0.916540763129364</v>
      </c>
      <c r="Y20" s="4" t="s">
        <v>107</v>
      </c>
      <c r="Z20" s="5" t="n">
        <v>0.5261</v>
      </c>
      <c r="AA20" s="4" t="s">
        <v>106</v>
      </c>
      <c r="AB20" s="4" t="s">
        <v>116</v>
      </c>
      <c r="AC20" s="5" t="n">
        <v>0.5261</v>
      </c>
      <c r="AD20" s="4" t="n">
        <f aca="false">IF(Y20=$E20,1,0)</f>
        <v>1</v>
      </c>
      <c r="AE20" s="4" t="n">
        <f aca="false">IF(OR(Y20=$E20,AA20=$E20,AB20=$E20),1,0)</f>
        <v>1</v>
      </c>
      <c r="AF20" s="4" t="n">
        <v>2</v>
      </c>
      <c r="AG20" s="9" t="n">
        <f aca="false">-LN(MAX(AC20,0.0001))</f>
        <v>0.642263970245376</v>
      </c>
    </row>
    <row r="21" customFormat="false" ht="15" hidden="false" customHeight="false" outlineLevel="0" collapsed="false">
      <c r="A21" s="4" t="n">
        <v>2016</v>
      </c>
      <c r="B21" s="4" t="n">
        <v>20</v>
      </c>
      <c r="C21" s="4" t="s">
        <v>133</v>
      </c>
      <c r="D21" s="4" t="s">
        <v>105</v>
      </c>
      <c r="E21" s="4" t="s">
        <v>107</v>
      </c>
      <c r="F21" s="4" t="n">
        <v>1</v>
      </c>
      <c r="G21" s="4" t="s">
        <v>107</v>
      </c>
      <c r="H21" s="5" t="n">
        <v>0.53284</v>
      </c>
      <c r="I21" s="4" t="s">
        <v>106</v>
      </c>
      <c r="J21" s="4" t="s">
        <v>112</v>
      </c>
      <c r="K21" s="5" t="n">
        <v>0.53284</v>
      </c>
      <c r="L21" s="4" t="n">
        <f aca="false">IF(G21=$E21,1,0)</f>
        <v>1</v>
      </c>
      <c r="M21" s="4" t="n">
        <f aca="false">IF(OR(G21=$E21,I21=$E21,J21=$E21),1,0)</f>
        <v>1</v>
      </c>
      <c r="N21" s="4" t="n">
        <v>2</v>
      </c>
      <c r="O21" s="9" t="n">
        <f aca="false">-LN(MAX(K21,0.0001))</f>
        <v>0.629534087498875</v>
      </c>
      <c r="P21" s="4" t="s">
        <v>107</v>
      </c>
      <c r="Q21" s="5" t="n">
        <v>0.42182</v>
      </c>
      <c r="R21" s="4" t="s">
        <v>106</v>
      </c>
      <c r="S21" s="4" t="s">
        <v>112</v>
      </c>
      <c r="T21" s="5" t="n">
        <v>0.42182</v>
      </c>
      <c r="U21" s="4" t="n">
        <f aca="false">IF(P21=$E21,1,0)</f>
        <v>1</v>
      </c>
      <c r="V21" s="4" t="n">
        <f aca="false">IF(OR(P21=$E21,R21=$E21,S21=$E21),1,0)</f>
        <v>1</v>
      </c>
      <c r="W21" s="4" t="n">
        <v>2</v>
      </c>
      <c r="X21" s="9" t="n">
        <f aca="false">-LN(MAX(T21,0.0001))</f>
        <v>0.863176596224669</v>
      </c>
      <c r="Y21" s="4" t="s">
        <v>107</v>
      </c>
      <c r="Z21" s="5" t="n">
        <v>0.52402</v>
      </c>
      <c r="AA21" s="4" t="s">
        <v>106</v>
      </c>
      <c r="AB21" s="4" t="s">
        <v>111</v>
      </c>
      <c r="AC21" s="5" t="n">
        <v>0.52402</v>
      </c>
      <c r="AD21" s="4" t="n">
        <f aca="false">IF(Y21=$E21,1,0)</f>
        <v>1</v>
      </c>
      <c r="AE21" s="4" t="n">
        <f aca="false">IF(OR(Y21=$E21,AA21=$E21,AB21=$E21),1,0)</f>
        <v>1</v>
      </c>
      <c r="AF21" s="4" t="n">
        <v>2</v>
      </c>
      <c r="AG21" s="9" t="n">
        <f aca="false">-LN(MAX(AC21,0.0001))</f>
        <v>0.646225427450541</v>
      </c>
    </row>
    <row r="22" customFormat="false" ht="15" hidden="false" customHeight="false" outlineLevel="0" collapsed="false">
      <c r="A22" s="4" t="n">
        <v>2016</v>
      </c>
      <c r="B22" s="4" t="n">
        <v>21</v>
      </c>
      <c r="C22" s="4" t="s">
        <v>134</v>
      </c>
      <c r="D22" s="4" t="s">
        <v>105</v>
      </c>
      <c r="E22" s="4" t="s">
        <v>107</v>
      </c>
      <c r="F22" s="4" t="n">
        <v>1</v>
      </c>
      <c r="G22" s="4" t="s">
        <v>107</v>
      </c>
      <c r="H22" s="5" t="n">
        <v>0.5976</v>
      </c>
      <c r="I22" s="4" t="s">
        <v>106</v>
      </c>
      <c r="J22" s="4" t="s">
        <v>112</v>
      </c>
      <c r="K22" s="5" t="n">
        <v>0.5976</v>
      </c>
      <c r="L22" s="4" t="n">
        <f aca="false">IF(G22=$E22,1,0)</f>
        <v>1</v>
      </c>
      <c r="M22" s="4" t="n">
        <f aca="false">IF(OR(G22=$E22,I22=$E22,J22=$E22),1,0)</f>
        <v>1</v>
      </c>
      <c r="N22" s="4" t="n">
        <v>2</v>
      </c>
      <c r="O22" s="9" t="n">
        <f aca="false">-LN(MAX(K22,0.0001))</f>
        <v>0.51483364516353</v>
      </c>
      <c r="P22" s="4" t="s">
        <v>107</v>
      </c>
      <c r="Q22" s="5" t="n">
        <v>0.46716</v>
      </c>
      <c r="R22" s="4" t="s">
        <v>106</v>
      </c>
      <c r="S22" s="4" t="s">
        <v>108</v>
      </c>
      <c r="T22" s="5" t="n">
        <v>0.46716</v>
      </c>
      <c r="U22" s="4" t="n">
        <f aca="false">IF(P22=$E22,1,0)</f>
        <v>1</v>
      </c>
      <c r="V22" s="4" t="n">
        <f aca="false">IF(OR(P22=$E22,R22=$E22,S22=$E22),1,0)</f>
        <v>1</v>
      </c>
      <c r="W22" s="4" t="n">
        <v>3</v>
      </c>
      <c r="X22" s="9" t="n">
        <f aca="false">-LN(MAX(T22,0.0001))</f>
        <v>0.761083467571772</v>
      </c>
      <c r="Y22" s="4" t="s">
        <v>107</v>
      </c>
      <c r="Z22" s="5" t="n">
        <v>0.54272</v>
      </c>
      <c r="AA22" s="4" t="s">
        <v>106</v>
      </c>
      <c r="AB22" s="4" t="s">
        <v>112</v>
      </c>
      <c r="AC22" s="5" t="n">
        <v>0.54272</v>
      </c>
      <c r="AD22" s="4" t="n">
        <f aca="false">IF(Y22=$E22,1,0)</f>
        <v>1</v>
      </c>
      <c r="AE22" s="4" t="n">
        <f aca="false">IF(OR(Y22=$E22,AA22=$E22,AB22=$E22),1,0)</f>
        <v>1</v>
      </c>
      <c r="AF22" s="4" t="n">
        <v>2</v>
      </c>
      <c r="AG22" s="9" t="n">
        <f aca="false">-LN(MAX(AC22,0.0001))</f>
        <v>0.611161745818654</v>
      </c>
    </row>
    <row r="23" customFormat="false" ht="15" hidden="false" customHeight="false" outlineLevel="0" collapsed="false">
      <c r="A23" s="4" t="n">
        <v>2017</v>
      </c>
      <c r="B23" s="4" t="n">
        <v>1</v>
      </c>
      <c r="C23" s="4" t="s">
        <v>104</v>
      </c>
      <c r="D23" s="4" t="s">
        <v>105</v>
      </c>
      <c r="E23" s="4" t="s">
        <v>108</v>
      </c>
      <c r="F23" s="4" t="n">
        <v>2</v>
      </c>
      <c r="G23" s="4" t="s">
        <v>107</v>
      </c>
      <c r="H23" s="5" t="n">
        <v>0.51254</v>
      </c>
      <c r="I23" s="4" t="s">
        <v>108</v>
      </c>
      <c r="J23" s="4" t="s">
        <v>114</v>
      </c>
      <c r="K23" s="5" t="n">
        <v>0.17904</v>
      </c>
      <c r="L23" s="4" t="n">
        <f aca="false">IF(G23=$E23,1,0)</f>
        <v>0</v>
      </c>
      <c r="M23" s="4" t="n">
        <f aca="false">IF(OR(G23=$E23,I23=$E23,J23=$E23),1,0)</f>
        <v>1</v>
      </c>
      <c r="N23" s="4" t="n">
        <v>3</v>
      </c>
      <c r="O23" s="9" t="n">
        <f aca="false">-LN(MAX(K23,0.0001))</f>
        <v>1.72014603441852</v>
      </c>
      <c r="P23" s="4" t="s">
        <v>107</v>
      </c>
      <c r="Q23" s="5" t="n">
        <v>0.40866</v>
      </c>
      <c r="R23" s="4" t="s">
        <v>108</v>
      </c>
      <c r="S23" s="4" t="s">
        <v>112</v>
      </c>
      <c r="T23" s="5" t="n">
        <v>0.12768</v>
      </c>
      <c r="U23" s="4" t="n">
        <f aca="false">IF(P23=$E23,1,0)</f>
        <v>0</v>
      </c>
      <c r="V23" s="4" t="n">
        <f aca="false">IF(OR(P23=$E23,R23=$E23,S23=$E23),1,0)</f>
        <v>1</v>
      </c>
      <c r="W23" s="4" t="n">
        <v>2</v>
      </c>
      <c r="X23" s="9" t="n">
        <f aca="false">-LN(MAX(T23,0.0001))</f>
        <v>2.05822814528064</v>
      </c>
      <c r="Y23" s="4" t="s">
        <v>107</v>
      </c>
      <c r="Z23" s="5" t="n">
        <v>0.56028</v>
      </c>
      <c r="AA23" s="4" t="s">
        <v>108</v>
      </c>
      <c r="AB23" s="4" t="s">
        <v>114</v>
      </c>
      <c r="AC23" s="5" t="n">
        <v>0.17974</v>
      </c>
      <c r="AD23" s="4" t="n">
        <f aca="false">IF(Y23=$E23,1,0)</f>
        <v>0</v>
      </c>
      <c r="AE23" s="4" t="n">
        <f aca="false">IF(OR(Y23=$E23,AA23=$E23,AB23=$E23),1,0)</f>
        <v>1</v>
      </c>
      <c r="AF23" s="4" t="n">
        <v>3</v>
      </c>
      <c r="AG23" s="9" t="n">
        <f aca="false">-LN(MAX(AC23,0.0001))</f>
        <v>1.71624391675191</v>
      </c>
    </row>
    <row r="24" customFormat="false" ht="15" hidden="false" customHeight="false" outlineLevel="0" collapsed="false">
      <c r="A24" s="4" t="n">
        <v>2017</v>
      </c>
      <c r="B24" s="4" t="n">
        <v>2</v>
      </c>
      <c r="C24" s="4" t="s">
        <v>110</v>
      </c>
      <c r="D24" s="4" t="s">
        <v>105</v>
      </c>
      <c r="E24" s="4" t="s">
        <v>107</v>
      </c>
      <c r="F24" s="4" t="n">
        <v>1</v>
      </c>
      <c r="G24" s="4" t="s">
        <v>107</v>
      </c>
      <c r="H24" s="5" t="n">
        <v>0.56764</v>
      </c>
      <c r="I24" s="4" t="s">
        <v>108</v>
      </c>
      <c r="J24" s="4" t="s">
        <v>114</v>
      </c>
      <c r="K24" s="5" t="n">
        <v>0.56764</v>
      </c>
      <c r="L24" s="4" t="n">
        <f aca="false">IF(G24=$E24,1,0)</f>
        <v>1</v>
      </c>
      <c r="M24" s="4" t="n">
        <f aca="false">IF(OR(G24=$E24,I24=$E24,J24=$E24),1,0)</f>
        <v>1</v>
      </c>
      <c r="N24" s="4" t="n">
        <v>2</v>
      </c>
      <c r="O24" s="9" t="n">
        <f aca="false">-LN(MAX(K24,0.0001))</f>
        <v>0.5662678640158</v>
      </c>
      <c r="P24" s="4" t="s">
        <v>107</v>
      </c>
      <c r="Q24" s="5" t="n">
        <v>0.55006</v>
      </c>
      <c r="R24" s="4" t="s">
        <v>108</v>
      </c>
      <c r="S24" s="4" t="s">
        <v>111</v>
      </c>
      <c r="T24" s="5" t="n">
        <v>0.55006</v>
      </c>
      <c r="U24" s="4" t="n">
        <f aca="false">IF(P24=$E24,1,0)</f>
        <v>1</v>
      </c>
      <c r="V24" s="4" t="n">
        <f aca="false">IF(OR(P24=$E24,R24=$E24,S24=$E24),1,0)</f>
        <v>1</v>
      </c>
      <c r="W24" s="4" t="n">
        <v>2</v>
      </c>
      <c r="X24" s="9" t="n">
        <f aca="false">-LN(MAX(T24,0.0001))</f>
        <v>0.59772791579651</v>
      </c>
      <c r="Y24" s="4" t="s">
        <v>107</v>
      </c>
      <c r="Z24" s="5" t="n">
        <v>0.55972</v>
      </c>
      <c r="AA24" s="4" t="s">
        <v>108</v>
      </c>
      <c r="AB24" s="4" t="s">
        <v>114</v>
      </c>
      <c r="AC24" s="5" t="n">
        <v>0.55972</v>
      </c>
      <c r="AD24" s="4" t="n">
        <f aca="false">IF(Y24=$E24,1,0)</f>
        <v>1</v>
      </c>
      <c r="AE24" s="4" t="n">
        <f aca="false">IF(OR(Y24=$E24,AA24=$E24,AB24=$E24),1,0)</f>
        <v>1</v>
      </c>
      <c r="AF24" s="4" t="n">
        <v>2</v>
      </c>
      <c r="AG24" s="9" t="n">
        <f aca="false">-LN(MAX(AC24,0.0001))</f>
        <v>0.580318620294624</v>
      </c>
    </row>
    <row r="25" customFormat="false" ht="15" hidden="false" customHeight="false" outlineLevel="0" collapsed="false">
      <c r="A25" s="4" t="n">
        <v>2017</v>
      </c>
      <c r="B25" s="4" t="n">
        <v>3</v>
      </c>
      <c r="C25" s="4" t="s">
        <v>109</v>
      </c>
      <c r="D25" s="4" t="s">
        <v>105</v>
      </c>
      <c r="E25" s="4" t="s">
        <v>108</v>
      </c>
      <c r="F25" s="4" t="n">
        <v>3</v>
      </c>
      <c r="G25" s="4" t="s">
        <v>114</v>
      </c>
      <c r="H25" s="5" t="n">
        <v>0.43154</v>
      </c>
      <c r="I25" s="4" t="s">
        <v>107</v>
      </c>
      <c r="J25" s="4" t="s">
        <v>108</v>
      </c>
      <c r="K25" s="5" t="n">
        <v>0.1314</v>
      </c>
      <c r="L25" s="4" t="n">
        <f aca="false">IF(G25=$E25,1,0)</f>
        <v>0</v>
      </c>
      <c r="M25" s="4" t="n">
        <f aca="false">IF(OR(G25=$E25,I25=$E25,J25=$E25),1,0)</f>
        <v>1</v>
      </c>
      <c r="N25" s="4" t="n">
        <v>3</v>
      </c>
      <c r="O25" s="9" t="n">
        <f aca="false">-LN(MAX(K25,0.0001))</f>
        <v>2.02950917293163</v>
      </c>
      <c r="P25" s="4" t="s">
        <v>107</v>
      </c>
      <c r="Q25" s="5" t="n">
        <v>0.57986</v>
      </c>
      <c r="R25" s="4" t="s">
        <v>108</v>
      </c>
      <c r="S25" s="4" t="s">
        <v>111</v>
      </c>
      <c r="T25" s="5" t="n">
        <v>0.19028</v>
      </c>
      <c r="U25" s="4" t="n">
        <f aca="false">IF(P25=$E25,1,0)</f>
        <v>0</v>
      </c>
      <c r="V25" s="4" t="n">
        <f aca="false">IF(OR(P25=$E25,R25=$E25,S25=$E25),1,0)</f>
        <v>1</v>
      </c>
      <c r="W25" s="4" t="n">
        <v>2</v>
      </c>
      <c r="X25" s="9" t="n">
        <f aca="false">-LN(MAX(T25,0.0001))</f>
        <v>1.65925860741806</v>
      </c>
      <c r="Y25" s="4" t="s">
        <v>114</v>
      </c>
      <c r="Z25" s="5" t="n">
        <v>0.55682</v>
      </c>
      <c r="AA25" s="4" t="s">
        <v>107</v>
      </c>
      <c r="AB25" s="4" t="s">
        <v>108</v>
      </c>
      <c r="AC25" s="5" t="n">
        <v>0.08118</v>
      </c>
      <c r="AD25" s="4" t="n">
        <f aca="false">IF(Y25=$E25,1,0)</f>
        <v>0</v>
      </c>
      <c r="AE25" s="4" t="n">
        <f aca="false">IF(OR(Y25=$E25,AA25=$E25,AB25=$E25),1,0)</f>
        <v>1</v>
      </c>
      <c r="AF25" s="4" t="n">
        <v>3</v>
      </c>
      <c r="AG25" s="9" t="n">
        <f aca="false">-LN(MAX(AC25,0.0001))</f>
        <v>2.51108636757139</v>
      </c>
    </row>
    <row r="26" customFormat="false" ht="15" hidden="false" customHeight="false" outlineLevel="0" collapsed="false">
      <c r="A26" s="4" t="n">
        <v>2017</v>
      </c>
      <c r="B26" s="4" t="n">
        <v>4</v>
      </c>
      <c r="C26" s="4" t="s">
        <v>113</v>
      </c>
      <c r="D26" s="4" t="s">
        <v>105</v>
      </c>
      <c r="E26" s="4" t="s">
        <v>114</v>
      </c>
      <c r="F26" s="4" t="n">
        <v>3</v>
      </c>
      <c r="G26" s="4" t="s">
        <v>108</v>
      </c>
      <c r="H26" s="5" t="n">
        <v>0.5303</v>
      </c>
      <c r="I26" s="4" t="s">
        <v>111</v>
      </c>
      <c r="J26" s="4" t="s">
        <v>114</v>
      </c>
      <c r="K26" s="5" t="n">
        <v>0.15612</v>
      </c>
      <c r="L26" s="4" t="n">
        <f aca="false">IF(G26=$E26,1,0)</f>
        <v>0</v>
      </c>
      <c r="M26" s="4" t="n">
        <f aca="false">IF(OR(G26=$E26,I26=$E26,J26=$E26),1,0)</f>
        <v>1</v>
      </c>
      <c r="N26" s="4" t="n">
        <v>3</v>
      </c>
      <c r="O26" s="9" t="n">
        <f aca="false">-LN(MAX(K26,0.0001))</f>
        <v>1.85713033666972</v>
      </c>
      <c r="P26" s="4" t="s">
        <v>107</v>
      </c>
      <c r="Q26" s="5" t="n">
        <v>0.55036</v>
      </c>
      <c r="R26" s="4" t="s">
        <v>108</v>
      </c>
      <c r="S26" s="4" t="s">
        <v>111</v>
      </c>
      <c r="T26" s="5" t="n">
        <v>0.0464</v>
      </c>
      <c r="U26" s="4" t="n">
        <f aca="false">IF(P26=$E26,1,0)</f>
        <v>0</v>
      </c>
      <c r="V26" s="4" t="n">
        <f aca="false">IF(OR(P26=$E26,R26=$E26,S26=$E26),1,0)</f>
        <v>0</v>
      </c>
      <c r="W26" s="4" t="n">
        <v>2</v>
      </c>
      <c r="X26" s="9" t="n">
        <f aca="false">-LN(MAX(T26,0.0001))</f>
        <v>3.07045581974993</v>
      </c>
      <c r="Y26" s="4" t="s">
        <v>108</v>
      </c>
      <c r="Z26" s="5" t="n">
        <v>0.52272</v>
      </c>
      <c r="AA26" s="4" t="s">
        <v>111</v>
      </c>
      <c r="AB26" s="4" t="s">
        <v>114</v>
      </c>
      <c r="AC26" s="5" t="n">
        <v>0.09358</v>
      </c>
      <c r="AD26" s="4" t="n">
        <f aca="false">IF(Y26=$E26,1,0)</f>
        <v>0</v>
      </c>
      <c r="AE26" s="4" t="n">
        <f aca="false">IF(OR(Y26=$E26,AA26=$E26,AB26=$E26),1,0)</f>
        <v>1</v>
      </c>
      <c r="AF26" s="4" t="n">
        <v>3</v>
      </c>
      <c r="AG26" s="9" t="n">
        <f aca="false">-LN(MAX(AC26,0.0001))</f>
        <v>2.36893859354407</v>
      </c>
    </row>
    <row r="27" customFormat="false" ht="15" hidden="false" customHeight="false" outlineLevel="0" collapsed="false">
      <c r="A27" s="4" t="n">
        <v>2017</v>
      </c>
      <c r="B27" s="4" t="n">
        <v>5</v>
      </c>
      <c r="C27" s="4" t="s">
        <v>115</v>
      </c>
      <c r="D27" s="4" t="s">
        <v>105</v>
      </c>
      <c r="E27" s="4" t="s">
        <v>107</v>
      </c>
      <c r="F27" s="4" t="n">
        <v>1</v>
      </c>
      <c r="G27" s="4" t="s">
        <v>107</v>
      </c>
      <c r="H27" s="5" t="n">
        <v>0.50706</v>
      </c>
      <c r="I27" s="4" t="s">
        <v>108</v>
      </c>
      <c r="J27" s="4" t="s">
        <v>114</v>
      </c>
      <c r="K27" s="5" t="n">
        <v>0.50706</v>
      </c>
      <c r="L27" s="4" t="n">
        <f aca="false">IF(G27=$E27,1,0)</f>
        <v>1</v>
      </c>
      <c r="M27" s="4" t="n">
        <f aca="false">IF(OR(G27=$E27,I27=$E27,J27=$E27),1,0)</f>
        <v>1</v>
      </c>
      <c r="N27" s="4" t="n">
        <v>2</v>
      </c>
      <c r="O27" s="9" t="n">
        <f aca="false">-LN(MAX(K27,0.0001))</f>
        <v>0.679125939197691</v>
      </c>
      <c r="P27" s="4" t="s">
        <v>107</v>
      </c>
      <c r="Q27" s="5" t="n">
        <v>0.49508</v>
      </c>
      <c r="R27" s="4" t="s">
        <v>108</v>
      </c>
      <c r="S27" s="4" t="s">
        <v>111</v>
      </c>
      <c r="T27" s="5" t="n">
        <v>0.49508</v>
      </c>
      <c r="U27" s="4" t="n">
        <f aca="false">IF(P27=$E27,1,0)</f>
        <v>1</v>
      </c>
      <c r="V27" s="4" t="n">
        <f aca="false">IF(OR(P27=$E27,R27=$E27,S27=$E27),1,0)</f>
        <v>1</v>
      </c>
      <c r="W27" s="4" t="n">
        <v>2</v>
      </c>
      <c r="X27" s="9" t="n">
        <f aca="false">-LN(MAX(T27,0.0001))</f>
        <v>0.703035913310316</v>
      </c>
      <c r="Y27" s="4" t="s">
        <v>107</v>
      </c>
      <c r="Z27" s="5" t="n">
        <v>0.55674</v>
      </c>
      <c r="AA27" s="4" t="s">
        <v>108</v>
      </c>
      <c r="AB27" s="4" t="s">
        <v>114</v>
      </c>
      <c r="AC27" s="5" t="n">
        <v>0.55674</v>
      </c>
      <c r="AD27" s="4" t="n">
        <f aca="false">IF(Y27=$E27,1,0)</f>
        <v>1</v>
      </c>
      <c r="AE27" s="4" t="n">
        <f aca="false">IF(OR(Y27=$E27,AA27=$E27,AB27=$E27),1,0)</f>
        <v>1</v>
      </c>
      <c r="AF27" s="4" t="n">
        <v>2</v>
      </c>
      <c r="AG27" s="9" t="n">
        <f aca="false">-LN(MAX(AC27,0.0001))</f>
        <v>0.585656934388994</v>
      </c>
    </row>
    <row r="28" customFormat="false" ht="15" hidden="false" customHeight="false" outlineLevel="0" collapsed="false">
      <c r="A28" s="4" t="n">
        <v>2017</v>
      </c>
      <c r="B28" s="4" t="n">
        <v>6</v>
      </c>
      <c r="C28" s="4" t="s">
        <v>117</v>
      </c>
      <c r="D28" s="4" t="s">
        <v>105</v>
      </c>
      <c r="E28" s="4" t="s">
        <v>108</v>
      </c>
      <c r="F28" s="4" t="n">
        <v>2</v>
      </c>
      <c r="G28" s="4" t="s">
        <v>108</v>
      </c>
      <c r="H28" s="5" t="n">
        <v>0.4929</v>
      </c>
      <c r="I28" s="4" t="s">
        <v>111</v>
      </c>
      <c r="J28" s="4" t="s">
        <v>114</v>
      </c>
      <c r="K28" s="5" t="n">
        <v>0.4929</v>
      </c>
      <c r="L28" s="4" t="n">
        <f aca="false">IF(G28=$E28,1,0)</f>
        <v>1</v>
      </c>
      <c r="M28" s="4" t="n">
        <f aca="false">IF(OR(G28=$E28,I28=$E28,J28=$E28),1,0)</f>
        <v>1</v>
      </c>
      <c r="N28" s="4" t="n">
        <v>2</v>
      </c>
      <c r="O28" s="9" t="n">
        <f aca="false">-LN(MAX(K28,0.0001))</f>
        <v>0.707448965270805</v>
      </c>
      <c r="P28" s="4" t="s">
        <v>107</v>
      </c>
      <c r="Q28" s="5" t="n">
        <v>0.5414</v>
      </c>
      <c r="R28" s="4" t="s">
        <v>108</v>
      </c>
      <c r="S28" s="4" t="s">
        <v>111</v>
      </c>
      <c r="T28" s="5" t="n">
        <v>0.25718</v>
      </c>
      <c r="U28" s="4" t="n">
        <f aca="false">IF(P28=$E28,1,0)</f>
        <v>0</v>
      </c>
      <c r="V28" s="4" t="n">
        <f aca="false">IF(OR(P28=$E28,R28=$E28,S28=$E28),1,0)</f>
        <v>1</v>
      </c>
      <c r="W28" s="4" t="n">
        <v>2</v>
      </c>
      <c r="X28" s="9" t="n">
        <f aca="false">-LN(MAX(T28,0.0001))</f>
        <v>1.35797905013984</v>
      </c>
      <c r="Y28" s="4" t="s">
        <v>111</v>
      </c>
      <c r="Z28" s="5" t="n">
        <v>0.51852</v>
      </c>
      <c r="AA28" s="4" t="s">
        <v>108</v>
      </c>
      <c r="AB28" s="4" t="s">
        <v>114</v>
      </c>
      <c r="AC28" s="5" t="n">
        <v>0.20374</v>
      </c>
      <c r="AD28" s="4" t="n">
        <f aca="false">IF(Y28=$E28,1,0)</f>
        <v>0</v>
      </c>
      <c r="AE28" s="4" t="n">
        <f aca="false">IF(OR(Y28=$E28,AA28=$E28,AB28=$E28),1,0)</f>
        <v>1</v>
      </c>
      <c r="AF28" s="4" t="n">
        <v>2</v>
      </c>
      <c r="AG28" s="9" t="n">
        <f aca="false">-LN(MAX(AC28,0.0001))</f>
        <v>1.59091060782022</v>
      </c>
    </row>
    <row r="29" customFormat="false" ht="15" hidden="false" customHeight="false" outlineLevel="0" collapsed="false">
      <c r="A29" s="4" t="n">
        <v>2017</v>
      </c>
      <c r="B29" s="4" t="n">
        <v>7</v>
      </c>
      <c r="C29" s="4" t="s">
        <v>118</v>
      </c>
      <c r="D29" s="4" t="s">
        <v>105</v>
      </c>
      <c r="E29" s="4" t="s">
        <v>107</v>
      </c>
      <c r="F29" s="4" t="n">
        <v>1</v>
      </c>
      <c r="G29" s="4" t="s">
        <v>107</v>
      </c>
      <c r="H29" s="5" t="n">
        <v>0.53746</v>
      </c>
      <c r="I29" s="4" t="s">
        <v>108</v>
      </c>
      <c r="J29" s="4" t="s">
        <v>114</v>
      </c>
      <c r="K29" s="5" t="n">
        <v>0.53746</v>
      </c>
      <c r="L29" s="4" t="n">
        <f aca="false">IF(G29=$E29,1,0)</f>
        <v>1</v>
      </c>
      <c r="M29" s="4" t="n">
        <f aca="false">IF(OR(G29=$E29,I29=$E29,J29=$E29),1,0)</f>
        <v>1</v>
      </c>
      <c r="N29" s="4" t="n">
        <v>2</v>
      </c>
      <c r="O29" s="9" t="n">
        <f aca="false">-LN(MAX(K29,0.0001))</f>
        <v>0.620900940354172</v>
      </c>
      <c r="P29" s="4" t="s">
        <v>107</v>
      </c>
      <c r="Q29" s="5" t="n">
        <v>0.38426</v>
      </c>
      <c r="R29" s="4" t="s">
        <v>108</v>
      </c>
      <c r="S29" s="4" t="s">
        <v>111</v>
      </c>
      <c r="T29" s="5" t="n">
        <v>0.38426</v>
      </c>
      <c r="U29" s="4" t="n">
        <f aca="false">IF(P29=$E29,1,0)</f>
        <v>1</v>
      </c>
      <c r="V29" s="4" t="n">
        <f aca="false">IF(OR(P29=$E29,R29=$E29,S29=$E29),1,0)</f>
        <v>1</v>
      </c>
      <c r="W29" s="4" t="n">
        <v>1</v>
      </c>
      <c r="X29" s="9" t="n">
        <f aca="false">-LN(MAX(T29,0.0001))</f>
        <v>0.956435872178582</v>
      </c>
      <c r="Y29" s="4" t="s">
        <v>107</v>
      </c>
      <c r="Z29" s="5" t="n">
        <v>0.5503</v>
      </c>
      <c r="AA29" s="4" t="s">
        <v>108</v>
      </c>
      <c r="AB29" s="4" t="s">
        <v>114</v>
      </c>
      <c r="AC29" s="5" t="n">
        <v>0.5503</v>
      </c>
      <c r="AD29" s="4" t="n">
        <f aca="false">IF(Y29=$E29,1,0)</f>
        <v>1</v>
      </c>
      <c r="AE29" s="4" t="n">
        <f aca="false">IF(OR(Y29=$E29,AA29=$E29,AB29=$E29),1,0)</f>
        <v>1</v>
      </c>
      <c r="AF29" s="4" t="n">
        <v>2</v>
      </c>
      <c r="AG29" s="9" t="n">
        <f aca="false">-LN(MAX(AC29,0.0001))</f>
        <v>0.597291694916424</v>
      </c>
    </row>
    <row r="30" customFormat="false" ht="15" hidden="false" customHeight="false" outlineLevel="0" collapsed="false">
      <c r="A30" s="4" t="n">
        <v>2017</v>
      </c>
      <c r="B30" s="4" t="n">
        <v>8</v>
      </c>
      <c r="C30" s="4" t="s">
        <v>135</v>
      </c>
      <c r="D30" s="4" t="s">
        <v>105</v>
      </c>
      <c r="E30" s="4" t="s">
        <v>112</v>
      </c>
      <c r="F30" s="4" t="n">
        <v>10</v>
      </c>
      <c r="G30" s="4" t="s">
        <v>107</v>
      </c>
      <c r="H30" s="5" t="n">
        <v>0.64544</v>
      </c>
      <c r="I30" s="4" t="s">
        <v>114</v>
      </c>
      <c r="J30" s="4" t="s">
        <v>108</v>
      </c>
      <c r="K30" s="5" t="n">
        <v>0.0198</v>
      </c>
      <c r="L30" s="4" t="n">
        <f aca="false">IF(G30=$E30,1,0)</f>
        <v>0</v>
      </c>
      <c r="M30" s="4" t="n">
        <f aca="false">IF(OR(G30=$E30,I30=$E30,J30=$E30),1,0)</f>
        <v>0</v>
      </c>
      <c r="N30" s="4" t="n">
        <v>1</v>
      </c>
      <c r="O30" s="9" t="n">
        <f aca="false">-LN(MAX(K30,0.0001))</f>
        <v>3.92207334128165</v>
      </c>
      <c r="P30" s="4" t="s">
        <v>107</v>
      </c>
      <c r="Q30" s="5" t="n">
        <v>0.44562</v>
      </c>
      <c r="R30" s="4" t="s">
        <v>108</v>
      </c>
      <c r="S30" s="4" t="s">
        <v>112</v>
      </c>
      <c r="T30" s="5" t="n">
        <v>0.09332</v>
      </c>
      <c r="U30" s="4" t="n">
        <f aca="false">IF(P30=$E30,1,0)</f>
        <v>0</v>
      </c>
      <c r="V30" s="4" t="n">
        <f aca="false">IF(OR(P30=$E30,R30=$E30,S30=$E30),1,0)</f>
        <v>1</v>
      </c>
      <c r="W30" s="4" t="n">
        <v>1</v>
      </c>
      <c r="X30" s="9" t="n">
        <f aca="false">-LN(MAX(T30,0.0001))</f>
        <v>2.37172083182891</v>
      </c>
      <c r="Y30" s="4" t="s">
        <v>107</v>
      </c>
      <c r="Z30" s="5" t="n">
        <v>0.54362</v>
      </c>
      <c r="AA30" s="4" t="s">
        <v>114</v>
      </c>
      <c r="AB30" s="4" t="s">
        <v>111</v>
      </c>
      <c r="AC30" s="5" t="n">
        <v>0.00694</v>
      </c>
      <c r="AD30" s="4" t="n">
        <f aca="false">IF(Y30=$E30,1,0)</f>
        <v>0</v>
      </c>
      <c r="AE30" s="4" t="n">
        <f aca="false">IF(OR(Y30=$E30,AA30=$E30,AB30=$E30),1,0)</f>
        <v>0</v>
      </c>
      <c r="AF30" s="4" t="n">
        <v>1</v>
      </c>
      <c r="AG30" s="9" t="n">
        <f aca="false">-LN(MAX(AC30,0.0001))</f>
        <v>4.97045350446342</v>
      </c>
    </row>
    <row r="31" customFormat="false" ht="15" hidden="false" customHeight="false" outlineLevel="0" collapsed="false">
      <c r="A31" s="4" t="n">
        <v>2017</v>
      </c>
      <c r="B31" s="4" t="n">
        <v>9</v>
      </c>
      <c r="C31" s="4" t="s">
        <v>120</v>
      </c>
      <c r="D31" s="4" t="s">
        <v>105</v>
      </c>
      <c r="E31" s="4" t="s">
        <v>114</v>
      </c>
      <c r="F31" s="4" t="n">
        <v>1</v>
      </c>
      <c r="G31" s="4" t="s">
        <v>114</v>
      </c>
      <c r="H31" s="5" t="n">
        <v>0.54558</v>
      </c>
      <c r="I31" s="4" t="s">
        <v>108</v>
      </c>
      <c r="J31" s="4" t="s">
        <v>112</v>
      </c>
      <c r="K31" s="5" t="n">
        <v>0.54558</v>
      </c>
      <c r="L31" s="4" t="n">
        <f aca="false">IF(G31=$E31,1,0)</f>
        <v>1</v>
      </c>
      <c r="M31" s="4" t="n">
        <f aca="false">IF(OR(G31=$E31,I31=$E31,J31=$E31),1,0)</f>
        <v>1</v>
      </c>
      <c r="N31" s="4" t="n">
        <v>3</v>
      </c>
      <c r="O31" s="9" t="n">
        <f aca="false">-LN(MAX(K31,0.0001))</f>
        <v>0.605905830016261</v>
      </c>
      <c r="P31" s="4" t="s">
        <v>107</v>
      </c>
      <c r="Q31" s="5" t="n">
        <v>0.42472</v>
      </c>
      <c r="R31" s="4" t="s">
        <v>108</v>
      </c>
      <c r="S31" s="4" t="s">
        <v>112</v>
      </c>
      <c r="T31" s="5" t="n">
        <v>0.09396</v>
      </c>
      <c r="U31" s="4" t="n">
        <f aca="false">IF(P31=$E31,1,0)</f>
        <v>0</v>
      </c>
      <c r="V31" s="4" t="n">
        <f aca="false">IF(OR(P31=$E31,R31=$E31,S31=$E31),1,0)</f>
        <v>0</v>
      </c>
      <c r="W31" s="4" t="n">
        <v>2</v>
      </c>
      <c r="X31" s="9" t="n">
        <f aca="false">-LN(MAX(T31,0.0001))</f>
        <v>2.36488611919143</v>
      </c>
      <c r="Y31" s="4" t="s">
        <v>114</v>
      </c>
      <c r="Z31" s="5" t="n">
        <v>0.55438</v>
      </c>
      <c r="AA31" s="4" t="s">
        <v>108</v>
      </c>
      <c r="AB31" s="4" t="s">
        <v>111</v>
      </c>
      <c r="AC31" s="5" t="n">
        <v>0.55438</v>
      </c>
      <c r="AD31" s="4" t="n">
        <f aca="false">IF(Y31=$E31,1,0)</f>
        <v>1</v>
      </c>
      <c r="AE31" s="4" t="n">
        <f aca="false">IF(OR(Y31=$E31,AA31=$E31,AB31=$E31),1,0)</f>
        <v>1</v>
      </c>
      <c r="AF31" s="4" t="n">
        <v>2</v>
      </c>
      <c r="AG31" s="9" t="n">
        <f aca="false">-LN(MAX(AC31,0.0001))</f>
        <v>0.589904906793238</v>
      </c>
    </row>
    <row r="32" customFormat="false" ht="15" hidden="false" customHeight="false" outlineLevel="0" collapsed="false">
      <c r="A32" s="4" t="n">
        <v>2017</v>
      </c>
      <c r="B32" s="4" t="n">
        <v>10</v>
      </c>
      <c r="C32" s="4" t="s">
        <v>123</v>
      </c>
      <c r="D32" s="4" t="s">
        <v>105</v>
      </c>
      <c r="E32" s="4" t="s">
        <v>107</v>
      </c>
      <c r="F32" s="4" t="n">
        <v>1</v>
      </c>
      <c r="G32" s="4" t="s">
        <v>107</v>
      </c>
      <c r="H32" s="5" t="n">
        <v>0.71122</v>
      </c>
      <c r="I32" s="4" t="s">
        <v>108</v>
      </c>
      <c r="J32" s="4" t="s">
        <v>111</v>
      </c>
      <c r="K32" s="5" t="n">
        <v>0.71122</v>
      </c>
      <c r="L32" s="4" t="n">
        <f aca="false">IF(G32=$E32,1,0)</f>
        <v>1</v>
      </c>
      <c r="M32" s="4" t="n">
        <f aca="false">IF(OR(G32=$E32,I32=$E32,J32=$E32),1,0)</f>
        <v>1</v>
      </c>
      <c r="N32" s="4" t="n">
        <v>2</v>
      </c>
      <c r="O32" s="9" t="n">
        <f aca="false">-LN(MAX(K32,0.0001))</f>
        <v>0.340773473693029</v>
      </c>
      <c r="P32" s="4" t="s">
        <v>107</v>
      </c>
      <c r="Q32" s="5" t="n">
        <v>0.40294</v>
      </c>
      <c r="R32" s="4" t="s">
        <v>108</v>
      </c>
      <c r="S32" s="4" t="s">
        <v>112</v>
      </c>
      <c r="T32" s="5" t="n">
        <v>0.40294</v>
      </c>
      <c r="U32" s="4" t="n">
        <f aca="false">IF(P32=$E32,1,0)</f>
        <v>1</v>
      </c>
      <c r="V32" s="4" t="n">
        <f aca="false">IF(OR(P32=$E32,R32=$E32,S32=$E32),1,0)</f>
        <v>1</v>
      </c>
      <c r="W32" s="4" t="n">
        <v>2</v>
      </c>
      <c r="X32" s="9" t="n">
        <f aca="false">-LN(MAX(T32,0.0001))</f>
        <v>0.908967611494374</v>
      </c>
      <c r="Y32" s="4" t="s">
        <v>107</v>
      </c>
      <c r="Z32" s="5" t="n">
        <v>0.55144</v>
      </c>
      <c r="AA32" s="4" t="s">
        <v>111</v>
      </c>
      <c r="AB32" s="4" t="s">
        <v>108</v>
      </c>
      <c r="AC32" s="5" t="n">
        <v>0.55144</v>
      </c>
      <c r="AD32" s="4" t="n">
        <f aca="false">IF(Y32=$E32,1,0)</f>
        <v>1</v>
      </c>
      <c r="AE32" s="4" t="n">
        <f aca="false">IF(OR(Y32=$E32,AA32=$E32,AB32=$E32),1,0)</f>
        <v>1</v>
      </c>
      <c r="AF32" s="4" t="n">
        <v>2</v>
      </c>
      <c r="AG32" s="9" t="n">
        <f aca="false">-LN(MAX(AC32,0.0001))</f>
        <v>0.595222240404741</v>
      </c>
    </row>
    <row r="33" customFormat="false" ht="15" hidden="false" customHeight="false" outlineLevel="0" collapsed="false">
      <c r="A33" s="4" t="n">
        <v>2017</v>
      </c>
      <c r="B33" s="4" t="n">
        <v>11</v>
      </c>
      <c r="C33" s="4" t="s">
        <v>124</v>
      </c>
      <c r="D33" s="4" t="s">
        <v>105</v>
      </c>
      <c r="E33" s="4" t="s">
        <v>108</v>
      </c>
      <c r="F33" s="4" t="n">
        <v>1</v>
      </c>
      <c r="G33" s="4" t="s">
        <v>108</v>
      </c>
      <c r="H33" s="5" t="n">
        <v>0.36586</v>
      </c>
      <c r="I33" s="4" t="s">
        <v>114</v>
      </c>
      <c r="J33" s="4" t="s">
        <v>107</v>
      </c>
      <c r="K33" s="5" t="n">
        <v>0.36586</v>
      </c>
      <c r="L33" s="4" t="n">
        <f aca="false">IF(G33=$E33,1,0)</f>
        <v>1</v>
      </c>
      <c r="M33" s="4" t="n">
        <f aca="false">IF(OR(G33=$E33,I33=$E33,J33=$E33),1,0)</f>
        <v>1</v>
      </c>
      <c r="N33" s="4" t="n">
        <v>2</v>
      </c>
      <c r="O33" s="9" t="n">
        <f aca="false">-LN(MAX(K33,0.0001))</f>
        <v>1.00550453241898</v>
      </c>
      <c r="P33" s="4" t="s">
        <v>107</v>
      </c>
      <c r="Q33" s="5" t="n">
        <v>0.53396</v>
      </c>
      <c r="R33" s="4" t="s">
        <v>108</v>
      </c>
      <c r="S33" s="4" t="s">
        <v>114</v>
      </c>
      <c r="T33" s="5" t="n">
        <v>0.19582</v>
      </c>
      <c r="U33" s="4" t="n">
        <f aca="false">IF(P33=$E33,1,0)</f>
        <v>0</v>
      </c>
      <c r="V33" s="4" t="n">
        <f aca="false">IF(OR(P33=$E33,R33=$E33,S33=$E33),1,0)</f>
        <v>1</v>
      </c>
      <c r="W33" s="4" t="n">
        <v>2</v>
      </c>
      <c r="X33" s="9" t="n">
        <f aca="false">-LN(MAX(T33,0.0001))</f>
        <v>1.63055940905621</v>
      </c>
      <c r="Y33" s="4" t="s">
        <v>108</v>
      </c>
      <c r="Z33" s="5" t="n">
        <v>0.52898</v>
      </c>
      <c r="AA33" s="4" t="s">
        <v>111</v>
      </c>
      <c r="AB33" s="4" t="s">
        <v>114</v>
      </c>
      <c r="AC33" s="5" t="n">
        <v>0.52898</v>
      </c>
      <c r="AD33" s="4" t="n">
        <f aca="false">IF(Y33=$E33,1,0)</f>
        <v>1</v>
      </c>
      <c r="AE33" s="4" t="n">
        <f aca="false">IF(OR(Y33=$E33,AA33=$E33,AB33=$E33),1,0)</f>
        <v>1</v>
      </c>
      <c r="AF33" s="4" t="n">
        <v>3</v>
      </c>
      <c r="AG33" s="9" t="n">
        <f aca="false">-LN(MAX(AC33,0.0001))</f>
        <v>0.636804655021912</v>
      </c>
    </row>
    <row r="34" customFormat="false" ht="15" hidden="false" customHeight="false" outlineLevel="0" collapsed="false">
      <c r="A34" s="4" t="n">
        <v>2017</v>
      </c>
      <c r="B34" s="4" t="n">
        <v>12</v>
      </c>
      <c r="C34" s="4" t="s">
        <v>126</v>
      </c>
      <c r="D34" s="4" t="s">
        <v>105</v>
      </c>
      <c r="E34" s="4" t="s">
        <v>107</v>
      </c>
      <c r="F34" s="4" t="n">
        <v>1</v>
      </c>
      <c r="G34" s="4" t="s">
        <v>107</v>
      </c>
      <c r="H34" s="5" t="n">
        <v>0.57588</v>
      </c>
      <c r="I34" s="4" t="s">
        <v>108</v>
      </c>
      <c r="J34" s="4" t="s">
        <v>114</v>
      </c>
      <c r="K34" s="5" t="n">
        <v>0.57588</v>
      </c>
      <c r="L34" s="4" t="n">
        <f aca="false">IF(G34=$E34,1,0)</f>
        <v>1</v>
      </c>
      <c r="M34" s="4" t="n">
        <f aca="false">IF(OR(G34=$E34,I34=$E34,J34=$E34),1,0)</f>
        <v>1</v>
      </c>
      <c r="N34" s="4" t="n">
        <v>2</v>
      </c>
      <c r="O34" s="9" t="n">
        <f aca="false">-LN(MAX(K34,0.0001))</f>
        <v>0.551855973323983</v>
      </c>
      <c r="P34" s="4" t="s">
        <v>107</v>
      </c>
      <c r="Q34" s="5" t="n">
        <v>0.44624</v>
      </c>
      <c r="R34" s="4" t="s">
        <v>108</v>
      </c>
      <c r="S34" s="4" t="s">
        <v>114</v>
      </c>
      <c r="T34" s="5" t="n">
        <v>0.44624</v>
      </c>
      <c r="U34" s="4" t="n">
        <f aca="false">IF(P34=$E34,1,0)</f>
        <v>1</v>
      </c>
      <c r="V34" s="4" t="n">
        <f aca="false">IF(OR(P34=$E34,R34=$E34,S34=$E34),1,0)</f>
        <v>1</v>
      </c>
      <c r="W34" s="4" t="n">
        <v>2</v>
      </c>
      <c r="X34" s="9" t="n">
        <f aca="false">-LN(MAX(T34,0.0001))</f>
        <v>0.806898355102958</v>
      </c>
      <c r="Y34" s="4" t="s">
        <v>107</v>
      </c>
      <c r="Z34" s="5" t="n">
        <v>0.55764</v>
      </c>
      <c r="AA34" s="4" t="s">
        <v>108</v>
      </c>
      <c r="AB34" s="4" t="s">
        <v>114</v>
      </c>
      <c r="AC34" s="5" t="n">
        <v>0.55764</v>
      </c>
      <c r="AD34" s="4" t="n">
        <f aca="false">IF(Y34=$E34,1,0)</f>
        <v>1</v>
      </c>
      <c r="AE34" s="4" t="n">
        <f aca="false">IF(OR(Y34=$E34,AA34=$E34,AB34=$E34),1,0)</f>
        <v>1</v>
      </c>
      <c r="AF34" s="4" t="n">
        <v>2</v>
      </c>
      <c r="AG34" s="9" t="n">
        <f aca="false">-LN(MAX(AC34,0.0001))</f>
        <v>0.58404168609725</v>
      </c>
    </row>
    <row r="35" customFormat="false" ht="15" hidden="false" customHeight="false" outlineLevel="0" collapsed="false">
      <c r="A35" s="4" t="n">
        <v>2017</v>
      </c>
      <c r="B35" s="4" t="n">
        <v>13</v>
      </c>
      <c r="C35" s="4" t="s">
        <v>127</v>
      </c>
      <c r="D35" s="4" t="s">
        <v>105</v>
      </c>
      <c r="E35" s="4" t="s">
        <v>107</v>
      </c>
      <c r="F35" s="4" t="n">
        <v>1</v>
      </c>
      <c r="G35" s="4" t="s">
        <v>107</v>
      </c>
      <c r="H35" s="5" t="n">
        <v>0.80384</v>
      </c>
      <c r="I35" s="4" t="s">
        <v>114</v>
      </c>
      <c r="J35" s="4" t="s">
        <v>108</v>
      </c>
      <c r="K35" s="5" t="n">
        <v>0.80384</v>
      </c>
      <c r="L35" s="4" t="n">
        <f aca="false">IF(G35=$E35,1,0)</f>
        <v>1</v>
      </c>
      <c r="M35" s="4" t="n">
        <f aca="false">IF(OR(G35=$E35,I35=$E35,J35=$E35),1,0)</f>
        <v>1</v>
      </c>
      <c r="N35" s="4" t="n">
        <v>3</v>
      </c>
      <c r="O35" s="9" t="n">
        <f aca="false">-LN(MAX(K35,0.0001))</f>
        <v>0.218355034582413</v>
      </c>
      <c r="P35" s="4" t="s">
        <v>107</v>
      </c>
      <c r="Q35" s="5" t="n">
        <v>0.47302</v>
      </c>
      <c r="R35" s="4" t="s">
        <v>108</v>
      </c>
      <c r="S35" s="4" t="s">
        <v>114</v>
      </c>
      <c r="T35" s="5" t="n">
        <v>0.47302</v>
      </c>
      <c r="U35" s="4" t="n">
        <f aca="false">IF(P35=$E35,1,0)</f>
        <v>1</v>
      </c>
      <c r="V35" s="4" t="n">
        <f aca="false">IF(OR(P35=$E35,R35=$E35,S35=$E35),1,0)</f>
        <v>1</v>
      </c>
      <c r="W35" s="4" t="n">
        <v>3</v>
      </c>
      <c r="X35" s="9" t="n">
        <f aca="false">-LN(MAX(T35,0.0001))</f>
        <v>0.74861760808602</v>
      </c>
      <c r="Y35" s="4" t="s">
        <v>107</v>
      </c>
      <c r="Z35" s="5" t="n">
        <v>0.57446</v>
      </c>
      <c r="AA35" s="4" t="s">
        <v>136</v>
      </c>
      <c r="AB35" s="4" t="s">
        <v>137</v>
      </c>
      <c r="AC35" s="5" t="n">
        <v>0.57446</v>
      </c>
      <c r="AD35" s="4" t="n">
        <f aca="false">IF(Y35=$E35,1,0)</f>
        <v>1</v>
      </c>
      <c r="AE35" s="4" t="n">
        <f aca="false">IF(OR(Y35=$E35,AA35=$E35,AB35=$E35),1,0)</f>
        <v>1</v>
      </c>
      <c r="AF35" s="4" t="n">
        <v>1</v>
      </c>
      <c r="AG35" s="9" t="n">
        <f aca="false">-LN(MAX(AC35,0.0001))</f>
        <v>0.554324809878844</v>
      </c>
    </row>
    <row r="36" customFormat="false" ht="15" hidden="false" customHeight="false" outlineLevel="0" collapsed="false">
      <c r="A36" s="4" t="n">
        <v>2017</v>
      </c>
      <c r="B36" s="4" t="n">
        <v>14</v>
      </c>
      <c r="C36" s="4" t="s">
        <v>128</v>
      </c>
      <c r="D36" s="4" t="s">
        <v>105</v>
      </c>
      <c r="E36" s="4" t="s">
        <v>107</v>
      </c>
      <c r="F36" s="4" t="n">
        <v>5</v>
      </c>
      <c r="G36" s="4" t="s">
        <v>108</v>
      </c>
      <c r="H36" s="5" t="n">
        <v>0.51104</v>
      </c>
      <c r="I36" s="4" t="s">
        <v>107</v>
      </c>
      <c r="J36" s="4" t="s">
        <v>112</v>
      </c>
      <c r="K36" s="5" t="n">
        <v>0.18128</v>
      </c>
      <c r="L36" s="4" t="n">
        <f aca="false">IF(G36=$E36,1,0)</f>
        <v>0</v>
      </c>
      <c r="M36" s="4" t="n">
        <f aca="false">IF(OR(G36=$E36,I36=$E36,J36=$E36),1,0)</f>
        <v>1</v>
      </c>
      <c r="N36" s="4" t="n">
        <v>2</v>
      </c>
      <c r="O36" s="9" t="n">
        <f aca="false">-LN(MAX(K36,0.0001))</f>
        <v>1.70771248170244</v>
      </c>
      <c r="P36" s="4" t="s">
        <v>107</v>
      </c>
      <c r="Q36" s="5" t="n">
        <v>0.52226</v>
      </c>
      <c r="R36" s="4" t="s">
        <v>108</v>
      </c>
      <c r="S36" s="4" t="s">
        <v>114</v>
      </c>
      <c r="T36" s="5" t="n">
        <v>0.52226</v>
      </c>
      <c r="U36" s="4" t="n">
        <f aca="false">IF(P36=$E36,1,0)</f>
        <v>1</v>
      </c>
      <c r="V36" s="4" t="n">
        <f aca="false">IF(OR(P36=$E36,R36=$E36,S36=$E36),1,0)</f>
        <v>1</v>
      </c>
      <c r="W36" s="4" t="n">
        <v>2</v>
      </c>
      <c r="X36" s="9" t="n">
        <f aca="false">-LN(MAX(T36,0.0001))</f>
        <v>0.649589730811117</v>
      </c>
      <c r="Y36" s="4" t="s">
        <v>108</v>
      </c>
      <c r="Z36" s="5" t="n">
        <v>0.57028</v>
      </c>
      <c r="AA36" s="4" t="s">
        <v>116</v>
      </c>
      <c r="AB36" s="4" t="s">
        <v>112</v>
      </c>
      <c r="AC36" s="5" t="n">
        <v>0.03618</v>
      </c>
      <c r="AD36" s="4" t="n">
        <f aca="false">IF(Y36=$E36,1,0)</f>
        <v>0</v>
      </c>
      <c r="AE36" s="4" t="n">
        <f aca="false">IF(OR(Y36=$E36,AA36=$E36,AB36=$E36),1,0)</f>
        <v>0</v>
      </c>
      <c r="AF36" s="4" t="n">
        <v>1</v>
      </c>
      <c r="AG36" s="9" t="n">
        <f aca="false">-LN(MAX(AC36,0.0001))</f>
        <v>3.31924879901499</v>
      </c>
    </row>
    <row r="37" customFormat="false" ht="15" hidden="false" customHeight="false" outlineLevel="0" collapsed="false">
      <c r="A37" s="4" t="n">
        <v>2017</v>
      </c>
      <c r="B37" s="4" t="n">
        <v>15</v>
      </c>
      <c r="C37" s="4" t="s">
        <v>129</v>
      </c>
      <c r="D37" s="4" t="s">
        <v>105</v>
      </c>
      <c r="E37" s="4" t="s">
        <v>116</v>
      </c>
      <c r="F37" s="4" t="n">
        <v>3</v>
      </c>
      <c r="G37" s="4" t="s">
        <v>107</v>
      </c>
      <c r="H37" s="5" t="n">
        <v>0.76028</v>
      </c>
      <c r="I37" s="4" t="s">
        <v>114</v>
      </c>
      <c r="J37" s="4" t="s">
        <v>112</v>
      </c>
      <c r="K37" s="5" t="n">
        <v>0.0237</v>
      </c>
      <c r="L37" s="4" t="n">
        <f aca="false">IF(G37=$E37,1,0)</f>
        <v>0</v>
      </c>
      <c r="M37" s="4" t="n">
        <f aca="false">IF(OR(G37=$E37,I37=$E37,J37=$E37),1,0)</f>
        <v>0</v>
      </c>
      <c r="N37" s="4" t="n">
        <v>2</v>
      </c>
      <c r="O37" s="9" t="n">
        <f aca="false">-LN(MAX(K37,0.0001))</f>
        <v>3.74228023084105</v>
      </c>
      <c r="P37" s="4" t="s">
        <v>107</v>
      </c>
      <c r="Q37" s="5" t="n">
        <v>0.51094</v>
      </c>
      <c r="R37" s="4" t="s">
        <v>108</v>
      </c>
      <c r="S37" s="4" t="s">
        <v>114</v>
      </c>
      <c r="T37" s="5" t="n">
        <v>0.0192</v>
      </c>
      <c r="U37" s="4" t="n">
        <f aca="false">IF(P37=$E37,1,0)</f>
        <v>0</v>
      </c>
      <c r="V37" s="4" t="n">
        <f aca="false">IF(OR(P37=$E37,R37=$E37,S37=$E37),1,0)</f>
        <v>0</v>
      </c>
      <c r="W37" s="4" t="n">
        <v>1</v>
      </c>
      <c r="X37" s="9" t="n">
        <f aca="false">-LN(MAX(T37,0.0001))</f>
        <v>3.9528449999484</v>
      </c>
      <c r="Y37" s="4" t="s">
        <v>107</v>
      </c>
      <c r="Z37" s="5" t="n">
        <v>0.69788</v>
      </c>
      <c r="AA37" s="4" t="s">
        <v>116</v>
      </c>
      <c r="AB37" s="4" t="s">
        <v>112</v>
      </c>
      <c r="AC37" s="5" t="n">
        <v>0.08804</v>
      </c>
      <c r="AD37" s="4" t="n">
        <f aca="false">IF(Y37=$E37,1,0)</f>
        <v>0</v>
      </c>
      <c r="AE37" s="4" t="n">
        <f aca="false">IF(OR(Y37=$E37,AA37=$E37,AB37=$E37),1,0)</f>
        <v>1</v>
      </c>
      <c r="AF37" s="4" t="n">
        <v>2</v>
      </c>
      <c r="AG37" s="9" t="n">
        <f aca="false">-LN(MAX(AC37,0.0001))</f>
        <v>2.42996402232388</v>
      </c>
    </row>
    <row r="38" customFormat="false" ht="15" hidden="false" customHeight="false" outlineLevel="0" collapsed="false">
      <c r="A38" s="4" t="n">
        <v>2017</v>
      </c>
      <c r="B38" s="4" t="n">
        <v>16</v>
      </c>
      <c r="C38" s="4" t="s">
        <v>130</v>
      </c>
      <c r="D38" s="4" t="s">
        <v>105</v>
      </c>
      <c r="E38" s="4" t="s">
        <v>107</v>
      </c>
      <c r="F38" s="4" t="n">
        <v>1</v>
      </c>
      <c r="G38" s="4" t="s">
        <v>107</v>
      </c>
      <c r="H38" s="5" t="n">
        <v>0.4448</v>
      </c>
      <c r="I38" s="4" t="s">
        <v>108</v>
      </c>
      <c r="J38" s="4" t="s">
        <v>114</v>
      </c>
      <c r="K38" s="5" t="n">
        <v>0.4448</v>
      </c>
      <c r="L38" s="4" t="n">
        <f aca="false">IF(G38=$E38,1,0)</f>
        <v>1</v>
      </c>
      <c r="M38" s="4" t="n">
        <f aca="false">IF(OR(G38=$E38,I38=$E38,J38=$E38),1,0)</f>
        <v>1</v>
      </c>
      <c r="N38" s="4" t="n">
        <v>1</v>
      </c>
      <c r="O38" s="9" t="n">
        <f aca="false">-LN(MAX(K38,0.0001))</f>
        <v>0.810130536045765</v>
      </c>
      <c r="P38" s="4" t="s">
        <v>107</v>
      </c>
      <c r="Q38" s="5" t="n">
        <v>0.45034</v>
      </c>
      <c r="R38" s="4" t="s">
        <v>108</v>
      </c>
      <c r="S38" s="4" t="s">
        <v>114</v>
      </c>
      <c r="T38" s="5" t="n">
        <v>0.45034</v>
      </c>
      <c r="U38" s="4" t="n">
        <f aca="false">IF(P38=$E38,1,0)</f>
        <v>1</v>
      </c>
      <c r="V38" s="4" t="n">
        <f aca="false">IF(OR(P38=$E38,R38=$E38,S38=$E38),1,0)</f>
        <v>1</v>
      </c>
      <c r="W38" s="4" t="n">
        <v>1</v>
      </c>
      <c r="X38" s="9" t="n">
        <f aca="false">-LN(MAX(T38,0.0001))</f>
        <v>0.797752425950623</v>
      </c>
      <c r="Y38" s="4" t="s">
        <v>107</v>
      </c>
      <c r="Z38" s="5" t="n">
        <v>0.5741</v>
      </c>
      <c r="AA38" s="4" t="s">
        <v>108</v>
      </c>
      <c r="AB38" s="4" t="s">
        <v>112</v>
      </c>
      <c r="AC38" s="5" t="n">
        <v>0.5741</v>
      </c>
      <c r="AD38" s="4" t="n">
        <f aca="false">IF(Y38=$E38,1,0)</f>
        <v>1</v>
      </c>
      <c r="AE38" s="4" t="n">
        <f aca="false">IF(OR(Y38=$E38,AA38=$E38,AB38=$E38),1,0)</f>
        <v>1</v>
      </c>
      <c r="AF38" s="4" t="n">
        <v>2</v>
      </c>
      <c r="AG38" s="9" t="n">
        <f aca="false">-LN(MAX(AC38,0.0001))</f>
        <v>0.554951681808546</v>
      </c>
    </row>
    <row r="39" customFormat="false" ht="15" hidden="false" customHeight="false" outlineLevel="0" collapsed="false">
      <c r="A39" s="4" t="n">
        <v>2017</v>
      </c>
      <c r="B39" s="4" t="n">
        <v>17</v>
      </c>
      <c r="C39" s="4" t="s">
        <v>131</v>
      </c>
      <c r="D39" s="4" t="s">
        <v>105</v>
      </c>
      <c r="E39" s="4" t="s">
        <v>107</v>
      </c>
      <c r="F39" s="4" t="n">
        <v>1</v>
      </c>
      <c r="G39" s="4" t="s">
        <v>107</v>
      </c>
      <c r="H39" s="5" t="n">
        <v>0.55796</v>
      </c>
      <c r="I39" s="4" t="s">
        <v>108</v>
      </c>
      <c r="J39" s="4" t="s">
        <v>114</v>
      </c>
      <c r="K39" s="5" t="n">
        <v>0.55796</v>
      </c>
      <c r="L39" s="4" t="n">
        <f aca="false">IF(G39=$E39,1,0)</f>
        <v>1</v>
      </c>
      <c r="M39" s="4" t="n">
        <f aca="false">IF(OR(G39=$E39,I39=$E39,J39=$E39),1,0)</f>
        <v>1</v>
      </c>
      <c r="N39" s="4" t="n">
        <v>2</v>
      </c>
      <c r="O39" s="9" t="n">
        <f aca="false">-LN(MAX(K39,0.0001))</f>
        <v>0.583468003758103</v>
      </c>
      <c r="P39" s="4" t="s">
        <v>107</v>
      </c>
      <c r="Q39" s="5" t="n">
        <v>0.52026</v>
      </c>
      <c r="R39" s="4" t="s">
        <v>108</v>
      </c>
      <c r="S39" s="4" t="s">
        <v>114</v>
      </c>
      <c r="T39" s="5" t="n">
        <v>0.52026</v>
      </c>
      <c r="U39" s="4" t="n">
        <f aca="false">IF(P39=$E39,1,0)</f>
        <v>1</v>
      </c>
      <c r="V39" s="4" t="n">
        <f aca="false">IF(OR(P39=$E39,R39=$E39,S39=$E39),1,0)</f>
        <v>1</v>
      </c>
      <c r="W39" s="4" t="n">
        <v>2</v>
      </c>
      <c r="X39" s="9" t="n">
        <f aca="false">-LN(MAX(T39,0.0001))</f>
        <v>0.653426592365013</v>
      </c>
      <c r="Y39" s="4" t="s">
        <v>107</v>
      </c>
      <c r="Z39" s="5" t="n">
        <v>0.56564</v>
      </c>
      <c r="AA39" s="4" t="s">
        <v>108</v>
      </c>
      <c r="AB39" s="4" t="s">
        <v>114</v>
      </c>
      <c r="AC39" s="5" t="n">
        <v>0.56564</v>
      </c>
      <c r="AD39" s="4" t="n">
        <f aca="false">IF(Y39=$E39,1,0)</f>
        <v>1</v>
      </c>
      <c r="AE39" s="4" t="n">
        <f aca="false">IF(OR(Y39=$E39,AA39=$E39,AB39=$E39),1,0)</f>
        <v>1</v>
      </c>
      <c r="AF39" s="4" t="n">
        <v>2</v>
      </c>
      <c r="AG39" s="9" t="n">
        <f aca="false">-LN(MAX(AC39,0.0001))</f>
        <v>0.569797445542561</v>
      </c>
    </row>
    <row r="40" customFormat="false" ht="15" hidden="false" customHeight="false" outlineLevel="0" collapsed="false">
      <c r="A40" s="4" t="n">
        <v>2017</v>
      </c>
      <c r="B40" s="4" t="n">
        <v>18</v>
      </c>
      <c r="C40" s="4" t="s">
        <v>132</v>
      </c>
      <c r="D40" s="4" t="s">
        <v>105</v>
      </c>
      <c r="E40" s="4" t="s">
        <v>116</v>
      </c>
      <c r="F40" s="4" t="n">
        <v>2</v>
      </c>
      <c r="G40" s="4" t="s">
        <v>108</v>
      </c>
      <c r="H40" s="5" t="n">
        <v>0.43482</v>
      </c>
      <c r="I40" s="4" t="s">
        <v>116</v>
      </c>
      <c r="J40" s="4" t="s">
        <v>107</v>
      </c>
      <c r="K40" s="5" t="n">
        <v>0.26514</v>
      </c>
      <c r="L40" s="4" t="n">
        <f aca="false">IF(G40=$E40,1,0)</f>
        <v>0</v>
      </c>
      <c r="M40" s="4" t="n">
        <f aca="false">IF(OR(G40=$E40,I40=$E40,J40=$E40),1,0)</f>
        <v>1</v>
      </c>
      <c r="N40" s="4" t="n">
        <v>1</v>
      </c>
      <c r="O40" s="9" t="n">
        <f aca="false">-LN(MAX(K40,0.0001))</f>
        <v>1.32749729061143</v>
      </c>
      <c r="P40" s="4" t="s">
        <v>107</v>
      </c>
      <c r="Q40" s="5" t="n">
        <v>0.53188</v>
      </c>
      <c r="R40" s="4" t="s">
        <v>108</v>
      </c>
      <c r="S40" s="4" t="s">
        <v>114</v>
      </c>
      <c r="T40" s="5" t="n">
        <v>0.05818</v>
      </c>
      <c r="U40" s="4" t="n">
        <f aca="false">IF(P40=$E40,1,0)</f>
        <v>0</v>
      </c>
      <c r="V40" s="4" t="n">
        <f aca="false">IF(OR(P40=$E40,R40=$E40,S40=$E40),1,0)</f>
        <v>0</v>
      </c>
      <c r="W40" s="4" t="n">
        <v>1</v>
      </c>
      <c r="X40" s="9" t="n">
        <f aca="false">-LN(MAX(T40,0.0001))</f>
        <v>2.84421362591508</v>
      </c>
      <c r="Y40" s="4" t="s">
        <v>108</v>
      </c>
      <c r="Z40" s="5" t="n">
        <v>0.51482</v>
      </c>
      <c r="AA40" s="4" t="s">
        <v>116</v>
      </c>
      <c r="AB40" s="4" t="s">
        <v>107</v>
      </c>
      <c r="AC40" s="5" t="n">
        <v>0.17182</v>
      </c>
      <c r="AD40" s="4" t="n">
        <f aca="false">IF(Y40=$E40,1,0)</f>
        <v>0</v>
      </c>
      <c r="AE40" s="4" t="n">
        <f aca="false">IF(OR(Y40=$E40,AA40=$E40,AB40=$E40),1,0)</f>
        <v>1</v>
      </c>
      <c r="AF40" s="4" t="n">
        <v>1</v>
      </c>
      <c r="AG40" s="9" t="n">
        <f aca="false">-LN(MAX(AC40,0.0001))</f>
        <v>1.76130786177223</v>
      </c>
    </row>
    <row r="41" customFormat="false" ht="15" hidden="false" customHeight="false" outlineLevel="0" collapsed="false">
      <c r="A41" s="4" t="n">
        <v>2017</v>
      </c>
      <c r="B41" s="4" t="n">
        <v>19</v>
      </c>
      <c r="C41" s="4" t="s">
        <v>133</v>
      </c>
      <c r="D41" s="4" t="s">
        <v>105</v>
      </c>
      <c r="E41" s="4" t="s">
        <v>108</v>
      </c>
      <c r="F41" s="4" t="n">
        <v>2</v>
      </c>
      <c r="G41" s="4" t="s">
        <v>114</v>
      </c>
      <c r="H41" s="5" t="n">
        <v>0.46742</v>
      </c>
      <c r="I41" s="4" t="s">
        <v>108</v>
      </c>
      <c r="J41" s="4" t="s">
        <v>116</v>
      </c>
      <c r="K41" s="5" t="n">
        <v>0.2168</v>
      </c>
      <c r="L41" s="4" t="n">
        <f aca="false">IF(G41=$E41,1,0)</f>
        <v>0</v>
      </c>
      <c r="M41" s="4" t="n">
        <f aca="false">IF(OR(G41=$E41,I41=$E41,J41=$E41),1,0)</f>
        <v>1</v>
      </c>
      <c r="N41" s="4" t="n">
        <v>3</v>
      </c>
      <c r="O41" s="9" t="n">
        <f aca="false">-LN(MAX(K41,0.0001))</f>
        <v>1.52878000941665</v>
      </c>
      <c r="P41" s="4" t="s">
        <v>107</v>
      </c>
      <c r="Q41" s="5" t="n">
        <v>0.3961</v>
      </c>
      <c r="R41" s="4" t="s">
        <v>108</v>
      </c>
      <c r="S41" s="4" t="s">
        <v>114</v>
      </c>
      <c r="T41" s="5" t="n">
        <v>0.17852</v>
      </c>
      <c r="U41" s="4" t="n">
        <f aca="false">IF(P41=$E41,1,0)</f>
        <v>0</v>
      </c>
      <c r="V41" s="4" t="n">
        <f aca="false">IF(OR(P41=$E41,R41=$E41,S41=$E41),1,0)</f>
        <v>1</v>
      </c>
      <c r="W41" s="4" t="n">
        <v>2</v>
      </c>
      <c r="X41" s="9" t="n">
        <f aca="false">-LN(MAX(T41,0.0001))</f>
        <v>1.72305463922107</v>
      </c>
      <c r="Y41" s="4" t="s">
        <v>114</v>
      </c>
      <c r="Z41" s="5" t="n">
        <v>0.57642</v>
      </c>
      <c r="AA41" s="4" t="s">
        <v>108</v>
      </c>
      <c r="AB41" s="4" t="s">
        <v>111</v>
      </c>
      <c r="AC41" s="5" t="n">
        <v>0.18254</v>
      </c>
      <c r="AD41" s="4" t="n">
        <f aca="false">IF(Y41=$E41,1,0)</f>
        <v>0</v>
      </c>
      <c r="AE41" s="4" t="n">
        <f aca="false">IF(OR(Y41=$E41,AA41=$E41,AB41=$E41),1,0)</f>
        <v>1</v>
      </c>
      <c r="AF41" s="4" t="n">
        <v>3</v>
      </c>
      <c r="AG41" s="9" t="n">
        <f aca="false">-LN(MAX(AC41,0.0001))</f>
        <v>1.70078595189341</v>
      </c>
    </row>
    <row r="42" customFormat="false" ht="15" hidden="false" customHeight="false" outlineLevel="0" collapsed="false">
      <c r="A42" s="4" t="n">
        <v>2017</v>
      </c>
      <c r="B42" s="4" t="n">
        <v>20</v>
      </c>
      <c r="C42" s="4" t="s">
        <v>134</v>
      </c>
      <c r="D42" s="4" t="s">
        <v>105</v>
      </c>
      <c r="E42" s="4" t="s">
        <v>114</v>
      </c>
      <c r="F42" s="4" t="n">
        <v>1</v>
      </c>
      <c r="G42" s="4" t="s">
        <v>114</v>
      </c>
      <c r="H42" s="5" t="n">
        <v>0.5843</v>
      </c>
      <c r="I42" s="4" t="s">
        <v>107</v>
      </c>
      <c r="J42" s="4" t="s">
        <v>108</v>
      </c>
      <c r="K42" s="5" t="n">
        <v>0.5843</v>
      </c>
      <c r="L42" s="4" t="n">
        <f aca="false">IF(G42=$E42,1,0)</f>
        <v>1</v>
      </c>
      <c r="M42" s="4" t="n">
        <f aca="false">IF(OR(G42=$E42,I42=$E42,J42=$E42),1,0)</f>
        <v>1</v>
      </c>
      <c r="N42" s="4" t="n">
        <v>3</v>
      </c>
      <c r="O42" s="9" t="n">
        <f aca="false">-LN(MAX(K42,0.0001))</f>
        <v>0.537340729421746</v>
      </c>
      <c r="P42" s="4" t="s">
        <v>107</v>
      </c>
      <c r="Q42" s="5" t="n">
        <v>0.38306</v>
      </c>
      <c r="R42" s="4" t="s">
        <v>108</v>
      </c>
      <c r="S42" s="4" t="s">
        <v>114</v>
      </c>
      <c r="T42" s="5" t="n">
        <v>0.16988</v>
      </c>
      <c r="U42" s="4" t="n">
        <f aca="false">IF(P42=$E42,1,0)</f>
        <v>0</v>
      </c>
      <c r="V42" s="4" t="n">
        <f aca="false">IF(OR(P42=$E42,R42=$E42,S42=$E42),1,0)</f>
        <v>1</v>
      </c>
      <c r="W42" s="4" t="n">
        <v>3</v>
      </c>
      <c r="X42" s="9" t="n">
        <f aca="false">-LN(MAX(T42,0.0001))</f>
        <v>1.77266297353707</v>
      </c>
      <c r="Y42" s="4" t="s">
        <v>114</v>
      </c>
      <c r="Z42" s="5" t="n">
        <v>0.55836</v>
      </c>
      <c r="AA42" s="4" t="s">
        <v>107</v>
      </c>
      <c r="AB42" s="4" t="s">
        <v>108</v>
      </c>
      <c r="AC42" s="5" t="n">
        <v>0.55836</v>
      </c>
      <c r="AD42" s="4" t="n">
        <f aca="false">IF(Y42=$E42,1,0)</f>
        <v>1</v>
      </c>
      <c r="AE42" s="4" t="n">
        <f aca="false">IF(OR(Y42=$E42,AA42=$E42,AB42=$E42),1,0)</f>
        <v>1</v>
      </c>
      <c r="AF42" s="4" t="n">
        <v>3</v>
      </c>
      <c r="AG42" s="9" t="n">
        <f aca="false">-LN(MAX(AC42,0.0001))</f>
        <v>0.58275136333758</v>
      </c>
    </row>
    <row r="43" customFormat="false" ht="15" hidden="false" customHeight="false" outlineLevel="0" collapsed="false">
      <c r="A43" s="4" t="n">
        <v>2018</v>
      </c>
      <c r="B43" s="4" t="n">
        <v>1</v>
      </c>
      <c r="C43" s="4" t="s">
        <v>104</v>
      </c>
      <c r="D43" s="4" t="s">
        <v>105</v>
      </c>
      <c r="E43" s="4" t="s">
        <v>108</v>
      </c>
      <c r="F43" s="4" t="n">
        <v>3</v>
      </c>
      <c r="G43" s="4" t="s">
        <v>107</v>
      </c>
      <c r="H43" s="5" t="n">
        <v>0.57658</v>
      </c>
      <c r="I43" s="4" t="s">
        <v>111</v>
      </c>
      <c r="J43" s="4" t="s">
        <v>108</v>
      </c>
      <c r="K43" s="5" t="n">
        <v>0.0983</v>
      </c>
      <c r="L43" s="4" t="n">
        <f aca="false">IF(G43=$E43,1,0)</f>
        <v>0</v>
      </c>
      <c r="M43" s="4" t="n">
        <f aca="false">IF(OR(G43=$E43,I43=$E43,J43=$E43),1,0)</f>
        <v>1</v>
      </c>
      <c r="N43" s="4" t="n">
        <v>3</v>
      </c>
      <c r="O43" s="9" t="n">
        <f aca="false">-LN(MAX(K43,0.0001))</f>
        <v>2.31973125182902</v>
      </c>
      <c r="P43" s="4" t="s">
        <v>107</v>
      </c>
      <c r="Q43" s="5" t="n">
        <v>0.30456</v>
      </c>
      <c r="R43" s="4" t="s">
        <v>108</v>
      </c>
      <c r="S43" s="4" t="s">
        <v>114</v>
      </c>
      <c r="T43" s="5" t="n">
        <v>0.18966</v>
      </c>
      <c r="U43" s="4" t="n">
        <f aca="false">IF(P43=$E43,1,0)</f>
        <v>0</v>
      </c>
      <c r="V43" s="4" t="n">
        <f aca="false">IF(OR(P43=$E43,R43=$E43,S43=$E43),1,0)</f>
        <v>1</v>
      </c>
      <c r="W43" s="4" t="n">
        <v>2</v>
      </c>
      <c r="X43" s="9" t="n">
        <f aca="false">-LN(MAX(T43,0.0001))</f>
        <v>1.66252228352656</v>
      </c>
      <c r="Y43" s="4" t="s">
        <v>107</v>
      </c>
      <c r="Z43" s="5" t="n">
        <v>0.58394</v>
      </c>
      <c r="AA43" s="4" t="s">
        <v>111</v>
      </c>
      <c r="AB43" s="4" t="s">
        <v>108</v>
      </c>
      <c r="AC43" s="5" t="n">
        <v>0.08226</v>
      </c>
      <c r="AD43" s="4" t="n">
        <f aca="false">IF(Y43=$E43,1,0)</f>
        <v>0</v>
      </c>
      <c r="AE43" s="4" t="n">
        <f aca="false">IF(OR(Y43=$E43,AA43=$E43,AB43=$E43),1,0)</f>
        <v>1</v>
      </c>
      <c r="AF43" s="4" t="n">
        <v>3</v>
      </c>
      <c r="AG43" s="9" t="n">
        <f aca="false">-LN(MAX(AC43,0.0001))</f>
        <v>2.49787031617986</v>
      </c>
    </row>
    <row r="44" customFormat="false" ht="15" hidden="false" customHeight="false" outlineLevel="0" collapsed="false">
      <c r="A44" s="4" t="n">
        <v>2018</v>
      </c>
      <c r="B44" s="4" t="n">
        <v>2</v>
      </c>
      <c r="C44" s="4" t="s">
        <v>109</v>
      </c>
      <c r="D44" s="4" t="s">
        <v>105</v>
      </c>
      <c r="E44" s="4" t="s">
        <v>108</v>
      </c>
      <c r="F44" s="4" t="n">
        <v>1</v>
      </c>
      <c r="G44" s="4" t="s">
        <v>108</v>
      </c>
      <c r="H44" s="5" t="n">
        <v>0.50724</v>
      </c>
      <c r="I44" s="4" t="s">
        <v>111</v>
      </c>
      <c r="J44" s="4" t="s">
        <v>114</v>
      </c>
      <c r="K44" s="5" t="n">
        <v>0.50724</v>
      </c>
      <c r="L44" s="4" t="n">
        <f aca="false">IF(G44=$E44,1,0)</f>
        <v>1</v>
      </c>
      <c r="M44" s="4" t="n">
        <f aca="false">IF(OR(G44=$E44,I44=$E44,J44=$E44),1,0)</f>
        <v>1</v>
      </c>
      <c r="N44" s="4" t="n">
        <v>2</v>
      </c>
      <c r="O44" s="9" t="n">
        <f aca="false">-LN(MAX(K44,0.0001))</f>
        <v>0.678771014615438</v>
      </c>
      <c r="P44" s="4" t="s">
        <v>107</v>
      </c>
      <c r="Q44" s="5" t="n">
        <v>0.41526</v>
      </c>
      <c r="R44" s="4" t="s">
        <v>108</v>
      </c>
      <c r="S44" s="4" t="s">
        <v>114</v>
      </c>
      <c r="T44" s="5" t="n">
        <v>0.2321</v>
      </c>
      <c r="U44" s="4" t="n">
        <f aca="false">IF(P44=$E44,1,0)</f>
        <v>0</v>
      </c>
      <c r="V44" s="4" t="n">
        <f aca="false">IF(OR(P44=$E44,R44=$E44,S44=$E44),1,0)</f>
        <v>1</v>
      </c>
      <c r="W44" s="4" t="n">
        <v>3</v>
      </c>
      <c r="X44" s="9" t="n">
        <f aca="false">-LN(MAX(T44,0.0001))</f>
        <v>1.46058696570175</v>
      </c>
      <c r="Y44" s="4" t="s">
        <v>108</v>
      </c>
      <c r="Z44" s="5" t="n">
        <v>0.52082</v>
      </c>
      <c r="AA44" s="4" t="s">
        <v>111</v>
      </c>
      <c r="AB44" s="4" t="s">
        <v>114</v>
      </c>
      <c r="AC44" s="5" t="n">
        <v>0.52082</v>
      </c>
      <c r="AD44" s="4" t="n">
        <f aca="false">IF(Y44=$E44,1,0)</f>
        <v>1</v>
      </c>
      <c r="AE44" s="4" t="n">
        <f aca="false">IF(OR(Y44=$E44,AA44=$E44,AB44=$E44),1,0)</f>
        <v>1</v>
      </c>
      <c r="AF44" s="4" t="n">
        <v>2</v>
      </c>
      <c r="AG44" s="9" t="n">
        <f aca="false">-LN(MAX(AC44,0.0001))</f>
        <v>0.652350786367376</v>
      </c>
    </row>
    <row r="45" customFormat="false" ht="15" hidden="false" customHeight="false" outlineLevel="0" collapsed="false">
      <c r="A45" s="4" t="n">
        <v>2018</v>
      </c>
      <c r="B45" s="4" t="n">
        <v>3</v>
      </c>
      <c r="C45" s="4" t="s">
        <v>110</v>
      </c>
      <c r="D45" s="4" t="s">
        <v>105</v>
      </c>
      <c r="E45" s="4" t="s">
        <v>112</v>
      </c>
      <c r="F45" s="4" t="n">
        <v>6</v>
      </c>
      <c r="G45" s="4" t="s">
        <v>108</v>
      </c>
      <c r="H45" s="5" t="n">
        <v>0.64594</v>
      </c>
      <c r="I45" s="4" t="s">
        <v>114</v>
      </c>
      <c r="J45" s="4" t="s">
        <v>107</v>
      </c>
      <c r="K45" s="5" t="n">
        <v>0.01162</v>
      </c>
      <c r="L45" s="4" t="n">
        <f aca="false">IF(G45=$E45,1,0)</f>
        <v>0</v>
      </c>
      <c r="M45" s="4" t="n">
        <f aca="false">IF(OR(G45=$E45,I45=$E45,J45=$E45),1,0)</f>
        <v>0</v>
      </c>
      <c r="N45" s="4" t="n">
        <v>1</v>
      </c>
      <c r="O45" s="9" t="n">
        <f aca="false">-LN(MAX(K45,0.0001))</f>
        <v>4.45502752755837</v>
      </c>
      <c r="P45" s="4" t="s">
        <v>107</v>
      </c>
      <c r="Q45" s="5" t="n">
        <v>0.3475</v>
      </c>
      <c r="R45" s="4" t="s">
        <v>108</v>
      </c>
      <c r="S45" s="4" t="s">
        <v>114</v>
      </c>
      <c r="T45" s="5" t="n">
        <v>0.0548</v>
      </c>
      <c r="U45" s="4" t="n">
        <f aca="false">IF(P45=$E45,1,0)</f>
        <v>0</v>
      </c>
      <c r="V45" s="4" t="n">
        <f aca="false">IF(OR(P45=$E45,R45=$E45,S45=$E45),1,0)</f>
        <v>0</v>
      </c>
      <c r="W45" s="4" t="n">
        <v>1</v>
      </c>
      <c r="X45" s="9" t="n">
        <f aca="false">-LN(MAX(T45,0.0001))</f>
        <v>2.90406508502817</v>
      </c>
      <c r="Y45" s="4" t="s">
        <v>108</v>
      </c>
      <c r="Z45" s="5" t="n">
        <v>0.5015</v>
      </c>
      <c r="AA45" s="4" t="s">
        <v>111</v>
      </c>
      <c r="AB45" s="4" t="s">
        <v>114</v>
      </c>
      <c r="AC45" s="5" t="n">
        <v>0.01942</v>
      </c>
      <c r="AD45" s="4" t="n">
        <f aca="false">IF(Y45=$E45,1,0)</f>
        <v>0</v>
      </c>
      <c r="AE45" s="4" t="n">
        <f aca="false">IF(OR(Y45=$E45,AA45=$E45,AB45=$E45),1,0)</f>
        <v>0</v>
      </c>
      <c r="AF45" s="4" t="n">
        <v>2</v>
      </c>
      <c r="AG45" s="9" t="n">
        <f aca="false">-LN(MAX(AC45,0.0001))</f>
        <v>3.94145181611896</v>
      </c>
    </row>
    <row r="46" customFormat="false" ht="15" hidden="false" customHeight="false" outlineLevel="0" collapsed="false">
      <c r="A46" s="4" t="n">
        <v>2018</v>
      </c>
      <c r="B46" s="4" t="n">
        <v>4</v>
      </c>
      <c r="C46" s="4" t="s">
        <v>135</v>
      </c>
      <c r="D46" s="4" t="s">
        <v>105</v>
      </c>
      <c r="E46" s="4" t="s">
        <v>107</v>
      </c>
      <c r="F46" s="4" t="n">
        <v>2</v>
      </c>
      <c r="G46" s="4" t="s">
        <v>108</v>
      </c>
      <c r="H46" s="5" t="n">
        <v>0.42544</v>
      </c>
      <c r="I46" s="4" t="s">
        <v>107</v>
      </c>
      <c r="J46" s="4" t="s">
        <v>114</v>
      </c>
      <c r="K46" s="5" t="n">
        <v>0.26214</v>
      </c>
      <c r="L46" s="4" t="n">
        <f aca="false">IF(G46=$E46,1,0)</f>
        <v>0</v>
      </c>
      <c r="M46" s="4" t="n">
        <f aca="false">IF(OR(G46=$E46,I46=$E46,J46=$E46),1,0)</f>
        <v>1</v>
      </c>
      <c r="N46" s="4" t="n">
        <v>1</v>
      </c>
      <c r="O46" s="9" t="n">
        <f aca="false">-LN(MAX(K46,0.0001))</f>
        <v>1.33887656679074</v>
      </c>
      <c r="P46" s="4" t="s">
        <v>107</v>
      </c>
      <c r="Q46" s="5" t="n">
        <v>0.32634</v>
      </c>
      <c r="R46" s="4" t="s">
        <v>108</v>
      </c>
      <c r="S46" s="4" t="s">
        <v>114</v>
      </c>
      <c r="T46" s="5" t="n">
        <v>0.32634</v>
      </c>
      <c r="U46" s="4" t="n">
        <f aca="false">IF(P46=$E46,1,0)</f>
        <v>1</v>
      </c>
      <c r="V46" s="4" t="n">
        <f aca="false">IF(OR(P46=$E46,R46=$E46,S46=$E46),1,0)</f>
        <v>1</v>
      </c>
      <c r="W46" s="4" t="n">
        <v>1</v>
      </c>
      <c r="X46" s="9" t="n">
        <f aca="false">-LN(MAX(T46,0.0001))</f>
        <v>1.11981549631921</v>
      </c>
      <c r="Y46" s="4" t="s">
        <v>108</v>
      </c>
      <c r="Z46" s="5" t="n">
        <v>0.49416</v>
      </c>
      <c r="AA46" s="4" t="s">
        <v>107</v>
      </c>
      <c r="AB46" s="4" t="s">
        <v>114</v>
      </c>
      <c r="AC46" s="5" t="n">
        <v>0.23214</v>
      </c>
      <c r="AD46" s="4" t="n">
        <f aca="false">IF(Y46=$E46,1,0)</f>
        <v>0</v>
      </c>
      <c r="AE46" s="4" t="n">
        <f aca="false">IF(OR(Y46=$E46,AA46=$E46,AB46=$E46),1,0)</f>
        <v>1</v>
      </c>
      <c r="AF46" s="4" t="n">
        <v>1</v>
      </c>
      <c r="AG46" s="9" t="n">
        <f aca="false">-LN(MAX(AC46,0.0001))</f>
        <v>1.46041464104166</v>
      </c>
    </row>
    <row r="47" customFormat="false" ht="15" hidden="false" customHeight="false" outlineLevel="0" collapsed="false">
      <c r="A47" s="4" t="n">
        <v>2018</v>
      </c>
      <c r="B47" s="4" t="n">
        <v>5</v>
      </c>
      <c r="C47" s="4" t="s">
        <v>115</v>
      </c>
      <c r="D47" s="4" t="s">
        <v>105</v>
      </c>
      <c r="E47" s="4" t="s">
        <v>107</v>
      </c>
      <c r="F47" s="4" t="n">
        <v>1</v>
      </c>
      <c r="G47" s="4" t="s">
        <v>107</v>
      </c>
      <c r="H47" s="5" t="n">
        <v>0.66096</v>
      </c>
      <c r="I47" s="4" t="s">
        <v>114</v>
      </c>
      <c r="J47" s="4" t="s">
        <v>108</v>
      </c>
      <c r="K47" s="5" t="n">
        <v>0.66096</v>
      </c>
      <c r="L47" s="4" t="n">
        <f aca="false">IF(G47=$E47,1,0)</f>
        <v>1</v>
      </c>
      <c r="M47" s="4" t="n">
        <f aca="false">IF(OR(G47=$E47,I47=$E47,J47=$E47),1,0)</f>
        <v>1</v>
      </c>
      <c r="N47" s="4" t="n">
        <v>2</v>
      </c>
      <c r="O47" s="9" t="n">
        <f aca="false">-LN(MAX(K47,0.0001))</f>
        <v>0.414061955333683</v>
      </c>
      <c r="P47" s="4" t="s">
        <v>107</v>
      </c>
      <c r="Q47" s="5" t="n">
        <v>0.4179</v>
      </c>
      <c r="R47" s="4" t="s">
        <v>108</v>
      </c>
      <c r="S47" s="4" t="s">
        <v>114</v>
      </c>
      <c r="T47" s="5" t="n">
        <v>0.4179</v>
      </c>
      <c r="U47" s="4" t="n">
        <f aca="false">IF(P47=$E47,1,0)</f>
        <v>1</v>
      </c>
      <c r="V47" s="4" t="n">
        <f aca="false">IF(OR(P47=$E47,R47=$E47,S47=$E47),1,0)</f>
        <v>1</v>
      </c>
      <c r="W47" s="4" t="n">
        <v>2</v>
      </c>
      <c r="X47" s="9" t="n">
        <f aca="false">-LN(MAX(T47,0.0001))</f>
        <v>0.872513109528267</v>
      </c>
      <c r="Y47" s="4" t="s">
        <v>107</v>
      </c>
      <c r="Z47" s="5" t="n">
        <v>0.55728</v>
      </c>
      <c r="AA47" s="4" t="s">
        <v>114</v>
      </c>
      <c r="AB47" s="4" t="s">
        <v>108</v>
      </c>
      <c r="AC47" s="5" t="n">
        <v>0.55728</v>
      </c>
      <c r="AD47" s="4" t="n">
        <f aca="false">IF(Y47=$E47,1,0)</f>
        <v>1</v>
      </c>
      <c r="AE47" s="4" t="n">
        <f aca="false">IF(OR(Y47=$E47,AA47=$E47,AB47=$E47),1,0)</f>
        <v>1</v>
      </c>
      <c r="AF47" s="4" t="n">
        <v>2</v>
      </c>
      <c r="AG47" s="9" t="n">
        <f aca="false">-LN(MAX(AC47,0.0001))</f>
        <v>0.584687472364446</v>
      </c>
    </row>
    <row r="48" customFormat="false" ht="15" hidden="false" customHeight="false" outlineLevel="0" collapsed="false">
      <c r="A48" s="4" t="n">
        <v>2018</v>
      </c>
      <c r="B48" s="4" t="n">
        <v>6</v>
      </c>
      <c r="C48" s="4" t="s">
        <v>117</v>
      </c>
      <c r="D48" s="4" t="s">
        <v>105</v>
      </c>
      <c r="E48" s="4" t="s">
        <v>112</v>
      </c>
      <c r="F48" s="4" t="n">
        <v>1</v>
      </c>
      <c r="G48" s="4" t="s">
        <v>112</v>
      </c>
      <c r="H48" s="5" t="n">
        <v>0.30212</v>
      </c>
      <c r="I48" s="4" t="s">
        <v>107</v>
      </c>
      <c r="J48" s="4" t="s">
        <v>108</v>
      </c>
      <c r="K48" s="5" t="n">
        <v>0.30212</v>
      </c>
      <c r="L48" s="4" t="n">
        <f aca="false">IF(G48=$E48,1,0)</f>
        <v>1</v>
      </c>
      <c r="M48" s="4" t="n">
        <f aca="false">IF(OR(G48=$E48,I48=$E48,J48=$E48),1,0)</f>
        <v>1</v>
      </c>
      <c r="N48" s="4" t="n">
        <v>2</v>
      </c>
      <c r="O48" s="9" t="n">
        <f aca="false">-LN(MAX(K48,0.0001))</f>
        <v>1.19693098953689</v>
      </c>
      <c r="P48" s="4" t="s">
        <v>107</v>
      </c>
      <c r="Q48" s="5" t="n">
        <v>0.44126</v>
      </c>
      <c r="R48" s="4" t="s">
        <v>108</v>
      </c>
      <c r="S48" s="4" t="s">
        <v>114</v>
      </c>
      <c r="T48" s="5" t="n">
        <v>0.0709</v>
      </c>
      <c r="U48" s="4" t="n">
        <f aca="false">IF(P48=$E48,1,0)</f>
        <v>0</v>
      </c>
      <c r="V48" s="4" t="n">
        <f aca="false">IF(OR(P48=$E48,R48=$E48,S48=$E48),1,0)</f>
        <v>0</v>
      </c>
      <c r="W48" s="4" t="n">
        <v>2</v>
      </c>
      <c r="X48" s="9" t="n">
        <f aca="false">-LN(MAX(T48,0.0001))</f>
        <v>2.64648484544406</v>
      </c>
      <c r="Y48" s="4" t="s">
        <v>112</v>
      </c>
      <c r="Z48" s="5" t="n">
        <v>0.43052</v>
      </c>
      <c r="AA48" s="4" t="s">
        <v>108</v>
      </c>
      <c r="AB48" s="4" t="s">
        <v>107</v>
      </c>
      <c r="AC48" s="5" t="n">
        <v>0.43052</v>
      </c>
      <c r="AD48" s="4" t="n">
        <f aca="false">IF(Y48=$E48,1,0)</f>
        <v>1</v>
      </c>
      <c r="AE48" s="4" t="n">
        <f aca="false">IF(OR(Y48=$E48,AA48=$E48,AB48=$E48),1,0)</f>
        <v>1</v>
      </c>
      <c r="AF48" s="4" t="n">
        <v>3</v>
      </c>
      <c r="AG48" s="9" t="n">
        <f aca="false">-LN(MAX(AC48,0.0001))</f>
        <v>0.84276149858604</v>
      </c>
    </row>
    <row r="49" customFormat="false" ht="15" hidden="false" customHeight="false" outlineLevel="0" collapsed="false">
      <c r="A49" s="4" t="n">
        <v>2018</v>
      </c>
      <c r="B49" s="4" t="n">
        <v>7</v>
      </c>
      <c r="C49" s="4" t="s">
        <v>118</v>
      </c>
      <c r="D49" s="4" t="s">
        <v>105</v>
      </c>
      <c r="E49" s="4" t="s">
        <v>108</v>
      </c>
      <c r="F49" s="4" t="n">
        <v>1</v>
      </c>
      <c r="G49" s="4" t="s">
        <v>108</v>
      </c>
      <c r="H49" s="5" t="n">
        <v>0.43474</v>
      </c>
      <c r="I49" s="4" t="s">
        <v>114</v>
      </c>
      <c r="J49" s="4" t="s">
        <v>107</v>
      </c>
      <c r="K49" s="5" t="n">
        <v>0.43474</v>
      </c>
      <c r="L49" s="4" t="n">
        <f aca="false">IF(G49=$E49,1,0)</f>
        <v>1</v>
      </c>
      <c r="M49" s="4" t="n">
        <f aca="false">IF(OR(G49=$E49,I49=$E49,J49=$E49),1,0)</f>
        <v>1</v>
      </c>
      <c r="N49" s="4" t="n">
        <v>2</v>
      </c>
      <c r="O49" s="9" t="n">
        <f aca="false">-LN(MAX(K49,0.0001))</f>
        <v>0.833007127737418</v>
      </c>
      <c r="P49" s="4" t="s">
        <v>107</v>
      </c>
      <c r="Q49" s="5" t="n">
        <v>0.37518</v>
      </c>
      <c r="R49" s="4" t="s">
        <v>108</v>
      </c>
      <c r="S49" s="4" t="s">
        <v>112</v>
      </c>
      <c r="T49" s="5" t="n">
        <v>0.19876</v>
      </c>
      <c r="U49" s="4" t="n">
        <f aca="false">IF(P49=$E49,1,0)</f>
        <v>0</v>
      </c>
      <c r="V49" s="4" t="n">
        <f aca="false">IF(OR(P49=$E49,R49=$E49,S49=$E49),1,0)</f>
        <v>1</v>
      </c>
      <c r="W49" s="4" t="n">
        <v>2</v>
      </c>
      <c r="X49" s="9" t="n">
        <f aca="false">-LN(MAX(T49,0.0001))</f>
        <v>1.61565721224802</v>
      </c>
      <c r="Y49" s="4" t="s">
        <v>108</v>
      </c>
      <c r="Z49" s="5" t="n">
        <v>0.48814</v>
      </c>
      <c r="AA49" s="4" t="s">
        <v>114</v>
      </c>
      <c r="AB49" s="4" t="s">
        <v>116</v>
      </c>
      <c r="AC49" s="5" t="n">
        <v>0.48814</v>
      </c>
      <c r="AD49" s="4" t="n">
        <f aca="false">IF(Y49=$E49,1,0)</f>
        <v>1</v>
      </c>
      <c r="AE49" s="4" t="n">
        <f aca="false">IF(OR(Y49=$E49,AA49=$E49,AB49=$E49),1,0)</f>
        <v>1</v>
      </c>
      <c r="AF49" s="4" t="n">
        <v>3</v>
      </c>
      <c r="AG49" s="9" t="n">
        <f aca="false">-LN(MAX(AC49,0.0001))</f>
        <v>0.717153029026792</v>
      </c>
    </row>
    <row r="50" customFormat="false" ht="15" hidden="false" customHeight="false" outlineLevel="0" collapsed="false">
      <c r="A50" s="4" t="n">
        <v>2018</v>
      </c>
      <c r="B50" s="4" t="n">
        <v>8</v>
      </c>
      <c r="C50" s="4" t="s">
        <v>138</v>
      </c>
      <c r="D50" s="4" t="s">
        <v>105</v>
      </c>
      <c r="E50" s="4" t="s">
        <v>107</v>
      </c>
      <c r="F50" s="4" t="n">
        <v>1</v>
      </c>
      <c r="G50" s="4" t="s">
        <v>107</v>
      </c>
      <c r="H50" s="5" t="n">
        <v>0.48962</v>
      </c>
      <c r="I50" s="4" t="s">
        <v>114</v>
      </c>
      <c r="J50" s="4" t="s">
        <v>108</v>
      </c>
      <c r="K50" s="5" t="n">
        <v>0.48962</v>
      </c>
      <c r="L50" s="4" t="n">
        <f aca="false">IF(G50=$E50,1,0)</f>
        <v>1</v>
      </c>
      <c r="M50" s="4" t="n">
        <f aca="false">IF(OR(G50=$E50,I50=$E50,J50=$E50),1,0)</f>
        <v>1</v>
      </c>
      <c r="N50" s="4" t="n">
        <v>1</v>
      </c>
      <c r="O50" s="9" t="n">
        <f aca="false">-LN(MAX(K50,0.0001))</f>
        <v>0.714125698945143</v>
      </c>
      <c r="P50" s="4" t="s">
        <v>107</v>
      </c>
      <c r="Q50" s="5" t="n">
        <v>0.31592</v>
      </c>
      <c r="R50" s="4" t="s">
        <v>108</v>
      </c>
      <c r="S50" s="4" t="s">
        <v>114</v>
      </c>
      <c r="T50" s="5" t="n">
        <v>0.31592</v>
      </c>
      <c r="U50" s="4" t="n">
        <f aca="false">IF(P50=$E50,1,0)</f>
        <v>1</v>
      </c>
      <c r="V50" s="4" t="n">
        <f aca="false">IF(OR(P50=$E50,R50=$E50,S50=$E50),1,0)</f>
        <v>1</v>
      </c>
      <c r="W50" s="4" t="n">
        <v>1</v>
      </c>
      <c r="X50" s="9" t="n">
        <f aca="false">-LN(MAX(T50,0.0001))</f>
        <v>1.15226626200374</v>
      </c>
      <c r="Y50" s="4" t="s">
        <v>107</v>
      </c>
      <c r="Z50" s="5" t="n">
        <v>0.562</v>
      </c>
      <c r="AA50" s="4" t="s">
        <v>114</v>
      </c>
      <c r="AB50" s="4" t="s">
        <v>108</v>
      </c>
      <c r="AC50" s="5" t="n">
        <v>0.562</v>
      </c>
      <c r="AD50" s="4" t="n">
        <f aca="false">IF(Y50=$E50,1,0)</f>
        <v>1</v>
      </c>
      <c r="AE50" s="4" t="n">
        <f aca="false">IF(OR(Y50=$E50,AA50=$E50,AB50=$E50),1,0)</f>
        <v>1</v>
      </c>
      <c r="AF50" s="4" t="n">
        <v>1</v>
      </c>
      <c r="AG50" s="9" t="n">
        <f aca="false">-LN(MAX(AC50,0.0001))</f>
        <v>0.576253429088446</v>
      </c>
    </row>
    <row r="51" customFormat="false" ht="15" hidden="false" customHeight="false" outlineLevel="0" collapsed="false">
      <c r="A51" s="4" t="n">
        <v>2018</v>
      </c>
      <c r="B51" s="4" t="n">
        <v>9</v>
      </c>
      <c r="C51" s="4" t="s">
        <v>120</v>
      </c>
      <c r="D51" s="4" t="s">
        <v>105</v>
      </c>
      <c r="E51" s="4" t="s">
        <v>116</v>
      </c>
      <c r="F51" s="4" t="n">
        <v>4</v>
      </c>
      <c r="G51" s="4" t="s">
        <v>114</v>
      </c>
      <c r="H51" s="5" t="n">
        <v>0.43534</v>
      </c>
      <c r="I51" s="4" t="s">
        <v>107</v>
      </c>
      <c r="J51" s="4" t="s">
        <v>111</v>
      </c>
      <c r="K51" s="5" t="n">
        <v>0.05738</v>
      </c>
      <c r="L51" s="4" t="n">
        <f aca="false">IF(G51=$E51,1,0)</f>
        <v>0</v>
      </c>
      <c r="M51" s="4" t="n">
        <f aca="false">IF(OR(G51=$E51,I51=$E51,J51=$E51),1,0)</f>
        <v>0</v>
      </c>
      <c r="N51" s="4" t="n">
        <v>1</v>
      </c>
      <c r="O51" s="9" t="n">
        <f aca="false">-LN(MAX(K51,0.0001))</f>
        <v>2.85805946842892</v>
      </c>
      <c r="P51" s="4" t="s">
        <v>107</v>
      </c>
      <c r="Q51" s="5" t="n">
        <v>0.38538</v>
      </c>
      <c r="R51" s="4" t="s">
        <v>108</v>
      </c>
      <c r="S51" s="4" t="s">
        <v>114</v>
      </c>
      <c r="T51" s="5" t="n">
        <v>0.0779</v>
      </c>
      <c r="U51" s="4" t="n">
        <f aca="false">IF(P51=$E51,1,0)</f>
        <v>0</v>
      </c>
      <c r="V51" s="4" t="n">
        <f aca="false">IF(OR(P51=$E51,R51=$E51,S51=$E51),1,0)</f>
        <v>0</v>
      </c>
      <c r="W51" s="4" t="n">
        <v>1</v>
      </c>
      <c r="X51" s="9" t="n">
        <f aca="false">-LN(MAX(T51,0.0001))</f>
        <v>2.55232932610543</v>
      </c>
      <c r="Y51" s="4" t="s">
        <v>114</v>
      </c>
      <c r="Z51" s="5" t="n">
        <v>0.5587</v>
      </c>
      <c r="AA51" s="4" t="s">
        <v>107</v>
      </c>
      <c r="AB51" s="4" t="s">
        <v>111</v>
      </c>
      <c r="AC51" s="5" t="n">
        <v>0.04192</v>
      </c>
      <c r="AD51" s="4" t="n">
        <f aca="false">IF(Y51=$E51,1,0)</f>
        <v>0</v>
      </c>
      <c r="AE51" s="4" t="n">
        <f aca="false">IF(OR(Y51=$E51,AA51=$E51,AB51=$E51),1,0)</f>
        <v>0</v>
      </c>
      <c r="AF51" s="4" t="n">
        <v>1</v>
      </c>
      <c r="AG51" s="9" t="n">
        <f aca="false">-LN(MAX(AC51,0.0001))</f>
        <v>3.17199223896935</v>
      </c>
    </row>
    <row r="52" customFormat="false" ht="15" hidden="false" customHeight="false" outlineLevel="0" collapsed="false">
      <c r="A52" s="4" t="n">
        <v>2018</v>
      </c>
      <c r="B52" s="4" t="n">
        <v>10</v>
      </c>
      <c r="C52" s="4" t="s">
        <v>123</v>
      </c>
      <c r="D52" s="4" t="s">
        <v>105</v>
      </c>
      <c r="E52" s="4" t="s">
        <v>108</v>
      </c>
      <c r="F52" s="4" t="n">
        <v>2</v>
      </c>
      <c r="G52" s="4" t="s">
        <v>107</v>
      </c>
      <c r="H52" s="5" t="n">
        <v>0.4705</v>
      </c>
      <c r="I52" s="4" t="s">
        <v>108</v>
      </c>
      <c r="J52" s="4" t="s">
        <v>111</v>
      </c>
      <c r="K52" s="5" t="n">
        <v>0.21918</v>
      </c>
      <c r="L52" s="4" t="n">
        <f aca="false">IF(G52=$E52,1,0)</f>
        <v>0</v>
      </c>
      <c r="M52" s="4" t="n">
        <f aca="false">IF(OR(G52=$E52,I52=$E52,J52=$E52),1,0)</f>
        <v>1</v>
      </c>
      <c r="N52" s="4" t="n">
        <v>3</v>
      </c>
      <c r="O52" s="9" t="n">
        <f aca="false">-LN(MAX(K52,0.0001))</f>
        <v>1.51786196894689</v>
      </c>
      <c r="P52" s="4" t="s">
        <v>107</v>
      </c>
      <c r="Q52" s="5" t="n">
        <v>0.35452</v>
      </c>
      <c r="R52" s="4" t="s">
        <v>108</v>
      </c>
      <c r="S52" s="4" t="s">
        <v>114</v>
      </c>
      <c r="T52" s="5" t="n">
        <v>0.19514</v>
      </c>
      <c r="U52" s="4" t="n">
        <f aca="false">IF(P52=$E52,1,0)</f>
        <v>0</v>
      </c>
      <c r="V52" s="4" t="n">
        <f aca="false">IF(OR(P52=$E52,R52=$E52,S52=$E52),1,0)</f>
        <v>1</v>
      </c>
      <c r="W52" s="4" t="n">
        <v>2</v>
      </c>
      <c r="X52" s="9" t="n">
        <f aca="false">-LN(MAX(T52,0.0001))</f>
        <v>1.63403802930233</v>
      </c>
      <c r="Y52" s="4" t="s">
        <v>107</v>
      </c>
      <c r="Z52" s="5" t="n">
        <v>0.53592</v>
      </c>
      <c r="AA52" s="4" t="s">
        <v>108</v>
      </c>
      <c r="AB52" s="4" t="s">
        <v>111</v>
      </c>
      <c r="AC52" s="5" t="n">
        <v>0.19574</v>
      </c>
      <c r="AD52" s="4" t="n">
        <f aca="false">IF(Y52=$E52,1,0)</f>
        <v>0</v>
      </c>
      <c r="AE52" s="4" t="n">
        <f aca="false">IF(OR(Y52=$E52,AA52=$E52,AB52=$E52),1,0)</f>
        <v>1</v>
      </c>
      <c r="AF52" s="4" t="n">
        <v>3</v>
      </c>
      <c r="AG52" s="9" t="n">
        <f aca="false">-LN(MAX(AC52,0.0001))</f>
        <v>1.63096803098446</v>
      </c>
    </row>
    <row r="53" customFormat="false" ht="15" hidden="false" customHeight="false" outlineLevel="0" collapsed="false">
      <c r="A53" s="4" t="n">
        <v>2018</v>
      </c>
      <c r="B53" s="4" t="n">
        <v>11</v>
      </c>
      <c r="C53" s="4" t="s">
        <v>125</v>
      </c>
      <c r="D53" s="4" t="s">
        <v>105</v>
      </c>
      <c r="E53" s="4" t="s">
        <v>107</v>
      </c>
      <c r="F53" s="4" t="n">
        <v>14</v>
      </c>
      <c r="G53" s="4" t="s">
        <v>108</v>
      </c>
      <c r="H53" s="5" t="n">
        <v>0.61154</v>
      </c>
      <c r="I53" s="4" t="s">
        <v>114</v>
      </c>
      <c r="J53" s="4" t="s">
        <v>111</v>
      </c>
      <c r="K53" s="5" t="n">
        <v>0.00934</v>
      </c>
      <c r="L53" s="4" t="n">
        <f aca="false">IF(G53=$E53,1,0)</f>
        <v>0</v>
      </c>
      <c r="M53" s="4" t="n">
        <f aca="false">IF(OR(G53=$E53,I53=$E53,J53=$E53),1,0)</f>
        <v>0</v>
      </c>
      <c r="N53" s="4" t="n">
        <v>2</v>
      </c>
      <c r="O53" s="9" t="n">
        <f aca="false">-LN(MAX(K53,0.0001))</f>
        <v>4.67344902674139</v>
      </c>
      <c r="P53" s="4" t="s">
        <v>107</v>
      </c>
      <c r="Q53" s="5" t="n">
        <v>0.34408</v>
      </c>
      <c r="R53" s="4" t="s">
        <v>108</v>
      </c>
      <c r="S53" s="4" t="s">
        <v>111</v>
      </c>
      <c r="T53" s="5" t="n">
        <v>0.34408</v>
      </c>
      <c r="U53" s="4" t="n">
        <f aca="false">IF(P53=$E53,1,0)</f>
        <v>1</v>
      </c>
      <c r="V53" s="4" t="n">
        <f aca="false">IF(OR(P53=$E53,R53=$E53,S53=$E53),1,0)</f>
        <v>1</v>
      </c>
      <c r="W53" s="4" t="n">
        <v>2</v>
      </c>
      <c r="X53" s="9" t="n">
        <f aca="false">-LN(MAX(T53,0.0001))</f>
        <v>1.06688109050666</v>
      </c>
      <c r="Y53" s="4" t="s">
        <v>108</v>
      </c>
      <c r="Z53" s="5" t="n">
        <v>0.53562</v>
      </c>
      <c r="AA53" s="4" t="s">
        <v>114</v>
      </c>
      <c r="AB53" s="4" t="s">
        <v>111</v>
      </c>
      <c r="AC53" s="5" t="n">
        <v>0.0046</v>
      </c>
      <c r="AD53" s="4" t="n">
        <f aca="false">IF(Y53=$E53,1,0)</f>
        <v>0</v>
      </c>
      <c r="AE53" s="4" t="n">
        <f aca="false">IF(OR(Y53=$E53,AA53=$E53,AB53=$E53),1,0)</f>
        <v>0</v>
      </c>
      <c r="AF53" s="4" t="n">
        <v>2</v>
      </c>
      <c r="AG53" s="9" t="n">
        <f aca="false">-LN(MAX(AC53,0.0001))</f>
        <v>5.38169897548709</v>
      </c>
    </row>
    <row r="54" customFormat="false" ht="15" hidden="false" customHeight="false" outlineLevel="0" collapsed="false">
      <c r="A54" s="4" t="n">
        <v>2018</v>
      </c>
      <c r="B54" s="4" t="n">
        <v>12</v>
      </c>
      <c r="C54" s="4" t="s">
        <v>124</v>
      </c>
      <c r="D54" s="4" t="s">
        <v>105</v>
      </c>
      <c r="E54" s="4" t="s">
        <v>107</v>
      </c>
      <c r="F54" s="4" t="n">
        <v>1</v>
      </c>
      <c r="G54" s="4" t="s">
        <v>107</v>
      </c>
      <c r="H54" s="5" t="n">
        <v>0.4253</v>
      </c>
      <c r="I54" s="4" t="s">
        <v>114</v>
      </c>
      <c r="J54" s="4" t="s">
        <v>111</v>
      </c>
      <c r="K54" s="5" t="n">
        <v>0.4253</v>
      </c>
      <c r="L54" s="4" t="n">
        <f aca="false">IF(G54=$E54,1,0)</f>
        <v>1</v>
      </c>
      <c r="M54" s="4" t="n">
        <f aca="false">IF(OR(G54=$E54,I54=$E54,J54=$E54),1,0)</f>
        <v>1</v>
      </c>
      <c r="N54" s="4" t="n">
        <v>2</v>
      </c>
      <c r="O54" s="9" t="n">
        <f aca="false">-LN(MAX(K54,0.0001))</f>
        <v>0.854960476722549</v>
      </c>
      <c r="P54" s="4" t="s">
        <v>107</v>
      </c>
      <c r="Q54" s="5" t="n">
        <v>0.3633</v>
      </c>
      <c r="R54" s="4" t="s">
        <v>108</v>
      </c>
      <c r="S54" s="4" t="s">
        <v>111</v>
      </c>
      <c r="T54" s="5" t="n">
        <v>0.3633</v>
      </c>
      <c r="U54" s="4" t="n">
        <f aca="false">IF(P54=$E54,1,0)</f>
        <v>1</v>
      </c>
      <c r="V54" s="4" t="n">
        <f aca="false">IF(OR(P54=$E54,R54=$E54,S54=$E54),1,0)</f>
        <v>1</v>
      </c>
      <c r="W54" s="4" t="n">
        <v>3</v>
      </c>
      <c r="X54" s="9" t="n">
        <f aca="false">-LN(MAX(T54,0.0001))</f>
        <v>1.01252633975498</v>
      </c>
      <c r="Y54" s="4" t="s">
        <v>107</v>
      </c>
      <c r="Z54" s="5" t="n">
        <v>0.53728</v>
      </c>
      <c r="AA54" s="4" t="s">
        <v>114</v>
      </c>
      <c r="AB54" s="4" t="s">
        <v>111</v>
      </c>
      <c r="AC54" s="5" t="n">
        <v>0.53728</v>
      </c>
      <c r="AD54" s="4" t="n">
        <f aca="false">IF(Y54=$E54,1,0)</f>
        <v>1</v>
      </c>
      <c r="AE54" s="4" t="n">
        <f aca="false">IF(OR(Y54=$E54,AA54=$E54,AB54=$E54),1,0)</f>
        <v>1</v>
      </c>
      <c r="AF54" s="4" t="n">
        <v>2</v>
      </c>
      <c r="AG54" s="9" t="n">
        <f aca="false">-LN(MAX(AC54,0.0001))</f>
        <v>0.621235905092961</v>
      </c>
    </row>
    <row r="55" customFormat="false" ht="15" hidden="false" customHeight="false" outlineLevel="0" collapsed="false">
      <c r="A55" s="4" t="n">
        <v>2018</v>
      </c>
      <c r="B55" s="4" t="n">
        <v>13</v>
      </c>
      <c r="C55" s="4" t="s">
        <v>126</v>
      </c>
      <c r="D55" s="4" t="s">
        <v>105</v>
      </c>
      <c r="E55" s="4" t="s">
        <v>108</v>
      </c>
      <c r="F55" s="4" t="n">
        <v>2</v>
      </c>
      <c r="G55" s="4" t="s">
        <v>107</v>
      </c>
      <c r="H55" s="5" t="n">
        <v>0.55452</v>
      </c>
      <c r="I55" s="4" t="s">
        <v>108</v>
      </c>
      <c r="J55" s="4" t="s">
        <v>111</v>
      </c>
      <c r="K55" s="5" t="n">
        <v>0.22576</v>
      </c>
      <c r="L55" s="4" t="n">
        <f aca="false">IF(G55=$E55,1,0)</f>
        <v>0</v>
      </c>
      <c r="M55" s="4" t="n">
        <f aca="false">IF(OR(G55=$E55,I55=$E55,J55=$E55),1,0)</f>
        <v>1</v>
      </c>
      <c r="N55" s="4" t="n">
        <v>2</v>
      </c>
      <c r="O55" s="9" t="n">
        <f aca="false">-LN(MAX(K55,0.0001))</f>
        <v>1.48828279087763</v>
      </c>
      <c r="P55" s="4" t="s">
        <v>107</v>
      </c>
      <c r="Q55" s="5" t="n">
        <v>0.37582</v>
      </c>
      <c r="R55" s="4" t="s">
        <v>108</v>
      </c>
      <c r="S55" s="4" t="s">
        <v>111</v>
      </c>
      <c r="T55" s="5" t="n">
        <v>0.20808</v>
      </c>
      <c r="U55" s="4" t="n">
        <f aca="false">IF(P55=$E55,1,0)</f>
        <v>0</v>
      </c>
      <c r="V55" s="4" t="n">
        <f aca="false">IF(OR(P55=$E55,R55=$E55,S55=$E55),1,0)</f>
        <v>1</v>
      </c>
      <c r="W55" s="4" t="n">
        <v>2</v>
      </c>
      <c r="X55" s="9" t="n">
        <f aca="false">-LN(MAX(T55,0.0001))</f>
        <v>1.56983265784174</v>
      </c>
      <c r="Y55" s="4" t="s">
        <v>107</v>
      </c>
      <c r="Z55" s="5" t="n">
        <v>0.53648</v>
      </c>
      <c r="AA55" s="4" t="s">
        <v>108</v>
      </c>
      <c r="AB55" s="4" t="s">
        <v>137</v>
      </c>
      <c r="AC55" s="5" t="n">
        <v>0.20282</v>
      </c>
      <c r="AD55" s="4" t="n">
        <f aca="false">IF(Y55=$E55,1,0)</f>
        <v>0</v>
      </c>
      <c r="AE55" s="4" t="n">
        <f aca="false">IF(OR(Y55=$E55,AA55=$E55,AB55=$E55),1,0)</f>
        <v>1</v>
      </c>
      <c r="AF55" s="4" t="n">
        <v>2</v>
      </c>
      <c r="AG55" s="9" t="n">
        <f aca="false">-LN(MAX(AC55,0.0001))</f>
        <v>1.59543639279829</v>
      </c>
    </row>
    <row r="56" customFormat="false" ht="15" hidden="false" customHeight="false" outlineLevel="0" collapsed="false">
      <c r="A56" s="4" t="n">
        <v>2018</v>
      </c>
      <c r="B56" s="4" t="n">
        <v>14</v>
      </c>
      <c r="C56" s="4" t="s">
        <v>127</v>
      </c>
      <c r="D56" s="4" t="s">
        <v>105</v>
      </c>
      <c r="E56" s="4" t="s">
        <v>107</v>
      </c>
      <c r="F56" s="4" t="n">
        <v>3</v>
      </c>
      <c r="G56" s="4" t="s">
        <v>111</v>
      </c>
      <c r="H56" s="5" t="n">
        <v>0.33928</v>
      </c>
      <c r="I56" s="4" t="s">
        <v>108</v>
      </c>
      <c r="J56" s="4" t="s">
        <v>107</v>
      </c>
      <c r="K56" s="5" t="n">
        <v>0.2298</v>
      </c>
      <c r="L56" s="4" t="n">
        <f aca="false">IF(G56=$E56,1,0)</f>
        <v>0</v>
      </c>
      <c r="M56" s="4" t="n">
        <f aca="false">IF(OR(G56=$E56,I56=$E56,J56=$E56),1,0)</f>
        <v>1</v>
      </c>
      <c r="N56" s="4" t="n">
        <v>2</v>
      </c>
      <c r="O56" s="9" t="n">
        <f aca="false">-LN(MAX(K56,0.0001))</f>
        <v>1.47054591356748</v>
      </c>
      <c r="P56" s="4" t="s">
        <v>107</v>
      </c>
      <c r="Q56" s="5" t="n">
        <v>0.37318</v>
      </c>
      <c r="R56" s="4" t="s">
        <v>108</v>
      </c>
      <c r="S56" s="4" t="s">
        <v>114</v>
      </c>
      <c r="T56" s="5" t="n">
        <v>0.37318</v>
      </c>
      <c r="U56" s="4" t="n">
        <f aca="false">IF(P56=$E56,1,0)</f>
        <v>1</v>
      </c>
      <c r="V56" s="4" t="n">
        <f aca="false">IF(OR(P56=$E56,R56=$E56,S56=$E56),1,0)</f>
        <v>1</v>
      </c>
      <c r="W56" s="4" t="n">
        <v>2</v>
      </c>
      <c r="X56" s="9" t="n">
        <f aca="false">-LN(MAX(T56,0.0001))</f>
        <v>0.985694402013034</v>
      </c>
      <c r="Y56" s="4" t="s">
        <v>111</v>
      </c>
      <c r="Z56" s="5" t="n">
        <v>0.51914</v>
      </c>
      <c r="AA56" s="4" t="s">
        <v>108</v>
      </c>
      <c r="AB56" s="4" t="s">
        <v>107</v>
      </c>
      <c r="AC56" s="5" t="n">
        <v>0.0954</v>
      </c>
      <c r="AD56" s="4" t="n">
        <f aca="false">IF(Y56=$E56,1,0)</f>
        <v>0</v>
      </c>
      <c r="AE56" s="4" t="n">
        <f aca="false">IF(OR(Y56=$E56,AA56=$E56,AB56=$E56),1,0)</f>
        <v>1</v>
      </c>
      <c r="AF56" s="4" t="n">
        <v>2</v>
      </c>
      <c r="AG56" s="9" t="n">
        <f aca="false">-LN(MAX(AC56,0.0001))</f>
        <v>2.3496767005279</v>
      </c>
    </row>
    <row r="57" customFormat="false" ht="15" hidden="false" customHeight="false" outlineLevel="0" collapsed="false">
      <c r="A57" s="4" t="n">
        <v>2018</v>
      </c>
      <c r="B57" s="4" t="n">
        <v>15</v>
      </c>
      <c r="C57" s="4" t="s">
        <v>128</v>
      </c>
      <c r="D57" s="4" t="s">
        <v>105</v>
      </c>
      <c r="E57" s="4" t="s">
        <v>107</v>
      </c>
      <c r="F57" s="4" t="n">
        <v>1</v>
      </c>
      <c r="G57" s="4" t="s">
        <v>107</v>
      </c>
      <c r="H57" s="5" t="n">
        <v>0.6418</v>
      </c>
      <c r="I57" s="4" t="s">
        <v>108</v>
      </c>
      <c r="J57" s="4" t="s">
        <v>114</v>
      </c>
      <c r="K57" s="5" t="n">
        <v>0.6418</v>
      </c>
      <c r="L57" s="4" t="n">
        <f aca="false">IF(G57=$E57,1,0)</f>
        <v>1</v>
      </c>
      <c r="M57" s="4" t="n">
        <f aca="false">IF(OR(G57=$E57,I57=$E57,J57=$E57),1,0)</f>
        <v>1</v>
      </c>
      <c r="N57" s="4" t="n">
        <v>2</v>
      </c>
      <c r="O57" s="9" t="n">
        <f aca="false">-LN(MAX(K57,0.0001))</f>
        <v>0.443478550306381</v>
      </c>
      <c r="P57" s="4" t="s">
        <v>107</v>
      </c>
      <c r="Q57" s="5" t="n">
        <v>0.40286</v>
      </c>
      <c r="R57" s="4" t="s">
        <v>108</v>
      </c>
      <c r="S57" s="4" t="s">
        <v>114</v>
      </c>
      <c r="T57" s="5" t="n">
        <v>0.40286</v>
      </c>
      <c r="U57" s="4" t="n">
        <f aca="false">IF(P57=$E57,1,0)</f>
        <v>1</v>
      </c>
      <c r="V57" s="4" t="n">
        <f aca="false">IF(OR(P57=$E57,R57=$E57,S57=$E57),1,0)</f>
        <v>1</v>
      </c>
      <c r="W57" s="4" t="n">
        <v>2</v>
      </c>
      <c r="X57" s="9" t="n">
        <f aca="false">-LN(MAX(T57,0.0001))</f>
        <v>0.909166171931859</v>
      </c>
      <c r="Y57" s="4" t="s">
        <v>107</v>
      </c>
      <c r="Z57" s="5" t="n">
        <v>0.5569</v>
      </c>
      <c r="AA57" s="4" t="s">
        <v>116</v>
      </c>
      <c r="AB57" s="4" t="s">
        <v>108</v>
      </c>
      <c r="AC57" s="5" t="n">
        <v>0.5569</v>
      </c>
      <c r="AD57" s="4" t="n">
        <f aca="false">IF(Y57=$E57,1,0)</f>
        <v>1</v>
      </c>
      <c r="AE57" s="4" t="n">
        <f aca="false">IF(OR(Y57=$E57,AA57=$E57,AB57=$E57),1,0)</f>
        <v>1</v>
      </c>
      <c r="AF57" s="4" t="n">
        <v>3</v>
      </c>
      <c r="AG57" s="9" t="n">
        <f aca="false">-LN(MAX(AC57,0.0001))</f>
        <v>0.585369588386514</v>
      </c>
    </row>
    <row r="58" customFormat="false" ht="15" hidden="false" customHeight="false" outlineLevel="0" collapsed="false">
      <c r="A58" s="4" t="n">
        <v>2018</v>
      </c>
      <c r="B58" s="4" t="n">
        <v>16</v>
      </c>
      <c r="C58" s="4" t="s">
        <v>113</v>
      </c>
      <c r="D58" s="4" t="s">
        <v>105</v>
      </c>
      <c r="E58" s="4" t="s">
        <v>107</v>
      </c>
      <c r="F58" s="4" t="n">
        <v>2</v>
      </c>
      <c r="G58" s="4" t="s">
        <v>114</v>
      </c>
      <c r="H58" s="5" t="n">
        <v>0.4852</v>
      </c>
      <c r="I58" s="4" t="s">
        <v>107</v>
      </c>
      <c r="J58" s="4" t="s">
        <v>108</v>
      </c>
      <c r="K58" s="5" t="n">
        <v>0.33242</v>
      </c>
      <c r="L58" s="4" t="n">
        <f aca="false">IF(G58=$E58,1,0)</f>
        <v>0</v>
      </c>
      <c r="M58" s="4" t="n">
        <f aca="false">IF(OR(G58=$E58,I58=$E58,J58=$E58),1,0)</f>
        <v>1</v>
      </c>
      <c r="N58" s="4" t="n">
        <v>3</v>
      </c>
      <c r="O58" s="9" t="n">
        <f aca="false">-LN(MAX(K58,0.0001))</f>
        <v>1.10135604933917</v>
      </c>
      <c r="P58" s="4" t="s">
        <v>107</v>
      </c>
      <c r="Q58" s="5" t="n">
        <v>0.43042</v>
      </c>
      <c r="R58" s="4" t="s">
        <v>108</v>
      </c>
      <c r="S58" s="4" t="s">
        <v>114</v>
      </c>
      <c r="T58" s="5" t="n">
        <v>0.43042</v>
      </c>
      <c r="U58" s="4" t="n">
        <f aca="false">IF(P58=$E58,1,0)</f>
        <v>1</v>
      </c>
      <c r="V58" s="4" t="n">
        <f aca="false">IF(OR(P58=$E58,R58=$E58,S58=$E58),1,0)</f>
        <v>1</v>
      </c>
      <c r="W58" s="4" t="n">
        <v>3</v>
      </c>
      <c r="X58" s="9" t="n">
        <f aca="false">-LN(MAX(T58,0.0001))</f>
        <v>0.842993802812698</v>
      </c>
      <c r="Y58" s="4" t="s">
        <v>114</v>
      </c>
      <c r="Z58" s="5" t="n">
        <v>0.53116</v>
      </c>
      <c r="AA58" s="4" t="s">
        <v>107</v>
      </c>
      <c r="AB58" s="4" t="s">
        <v>108</v>
      </c>
      <c r="AC58" s="5" t="n">
        <v>0.20048</v>
      </c>
      <c r="AD58" s="4" t="n">
        <f aca="false">IF(Y58=$E58,1,0)</f>
        <v>0</v>
      </c>
      <c r="AE58" s="4" t="n">
        <f aca="false">IF(OR(Y58=$E58,AA58=$E58,AB58=$E58),1,0)</f>
        <v>1</v>
      </c>
      <c r="AF58" s="4" t="n">
        <v>3</v>
      </c>
      <c r="AG58" s="9" t="n">
        <f aca="false">-LN(MAX(AC58,0.0001))</f>
        <v>1.60704078783438</v>
      </c>
    </row>
    <row r="59" customFormat="false" ht="15" hidden="false" customHeight="false" outlineLevel="0" collapsed="false">
      <c r="A59" s="4" t="n">
        <v>2018</v>
      </c>
      <c r="B59" s="4" t="n">
        <v>17</v>
      </c>
      <c r="C59" s="4" t="s">
        <v>130</v>
      </c>
      <c r="D59" s="4" t="s">
        <v>105</v>
      </c>
      <c r="E59" s="4" t="s">
        <v>107</v>
      </c>
      <c r="F59" s="4" t="n">
        <v>1</v>
      </c>
      <c r="G59" s="4" t="s">
        <v>107</v>
      </c>
      <c r="H59" s="5" t="n">
        <v>0.63558</v>
      </c>
      <c r="I59" s="4" t="s">
        <v>114</v>
      </c>
      <c r="J59" s="4" t="s">
        <v>116</v>
      </c>
      <c r="K59" s="5" t="n">
        <v>0.63558</v>
      </c>
      <c r="L59" s="4" t="n">
        <f aca="false">IF(G59=$E59,1,0)</f>
        <v>1</v>
      </c>
      <c r="M59" s="4" t="n">
        <f aca="false">IF(OR(G59=$E59,I59=$E59,J59=$E59),1,0)</f>
        <v>1</v>
      </c>
      <c r="N59" s="4" t="n">
        <v>2</v>
      </c>
      <c r="O59" s="9" t="n">
        <f aca="false">-LN(MAX(K59,0.0001))</f>
        <v>0.453217311145677</v>
      </c>
      <c r="P59" s="4" t="s">
        <v>107</v>
      </c>
      <c r="Q59" s="5" t="n">
        <v>0.4637</v>
      </c>
      <c r="R59" s="4" t="s">
        <v>108</v>
      </c>
      <c r="S59" s="4" t="s">
        <v>114</v>
      </c>
      <c r="T59" s="5" t="n">
        <v>0.4637</v>
      </c>
      <c r="U59" s="4" t="n">
        <f aca="false">IF(P59=$E59,1,0)</f>
        <v>1</v>
      </c>
      <c r="V59" s="4" t="n">
        <f aca="false">IF(OR(P59=$E59,R59=$E59,S59=$E59),1,0)</f>
        <v>1</v>
      </c>
      <c r="W59" s="4" t="n">
        <v>2</v>
      </c>
      <c r="X59" s="9" t="n">
        <f aca="false">-LN(MAX(T59,0.0001))</f>
        <v>0.768517487584722</v>
      </c>
      <c r="Y59" s="4" t="s">
        <v>107</v>
      </c>
      <c r="Z59" s="5" t="n">
        <v>0.54044</v>
      </c>
      <c r="AA59" s="4" t="s">
        <v>114</v>
      </c>
      <c r="AB59" s="4" t="s">
        <v>116</v>
      </c>
      <c r="AC59" s="5" t="n">
        <v>0.54044</v>
      </c>
      <c r="AD59" s="4" t="n">
        <f aca="false">IF(Y59=$E59,1,0)</f>
        <v>1</v>
      </c>
      <c r="AE59" s="4" t="n">
        <f aca="false">IF(OR(Y59=$E59,AA59=$E59,AB59=$E59),1,0)</f>
        <v>1</v>
      </c>
      <c r="AF59" s="4" t="n">
        <v>3</v>
      </c>
      <c r="AG59" s="9" t="n">
        <f aca="false">-LN(MAX(AC59,0.0001))</f>
        <v>0.615371656390379</v>
      </c>
    </row>
    <row r="60" customFormat="false" ht="15" hidden="false" customHeight="false" outlineLevel="0" collapsed="false">
      <c r="A60" s="4" t="n">
        <v>2018</v>
      </c>
      <c r="B60" s="4" t="n">
        <v>18</v>
      </c>
      <c r="C60" s="4" t="s">
        <v>131</v>
      </c>
      <c r="D60" s="4" t="s">
        <v>105</v>
      </c>
      <c r="E60" s="4" t="s">
        <v>111</v>
      </c>
      <c r="F60" s="4" t="n">
        <v>2</v>
      </c>
      <c r="G60" s="4" t="s">
        <v>107</v>
      </c>
      <c r="H60" s="5" t="n">
        <v>0.62222</v>
      </c>
      <c r="I60" s="4" t="s">
        <v>114</v>
      </c>
      <c r="J60" s="4" t="s">
        <v>111</v>
      </c>
      <c r="K60" s="5" t="n">
        <v>0.13476</v>
      </c>
      <c r="L60" s="4" t="n">
        <f aca="false">IF(G60=$E60,1,0)</f>
        <v>0</v>
      </c>
      <c r="M60" s="4" t="n">
        <f aca="false">IF(OR(G60=$E60,I60=$E60,J60=$E60),1,0)</f>
        <v>1</v>
      </c>
      <c r="N60" s="4" t="n">
        <v>2</v>
      </c>
      <c r="O60" s="9" t="n">
        <f aca="false">-LN(MAX(K60,0.0001))</f>
        <v>2.00425986044379</v>
      </c>
      <c r="P60" s="4" t="s">
        <v>107</v>
      </c>
      <c r="Q60" s="5" t="n">
        <v>0.48602</v>
      </c>
      <c r="R60" s="4" t="s">
        <v>114</v>
      </c>
      <c r="S60" s="4" t="s">
        <v>108</v>
      </c>
      <c r="T60" s="5" t="n">
        <v>0.09134</v>
      </c>
      <c r="U60" s="4" t="n">
        <f aca="false">IF(P60=$E60,1,0)</f>
        <v>0</v>
      </c>
      <c r="V60" s="4" t="n">
        <f aca="false">IF(OR(P60=$E60,R60=$E60,S60=$E60),1,0)</f>
        <v>0</v>
      </c>
      <c r="W60" s="4" t="n">
        <v>1</v>
      </c>
      <c r="X60" s="9" t="n">
        <f aca="false">-LN(MAX(T60,0.0001))</f>
        <v>2.39316647122528</v>
      </c>
      <c r="Y60" s="4" t="s">
        <v>107</v>
      </c>
      <c r="Z60" s="5" t="n">
        <v>0.53228</v>
      </c>
      <c r="AA60" s="4" t="s">
        <v>111</v>
      </c>
      <c r="AB60" s="4" t="s">
        <v>114</v>
      </c>
      <c r="AC60" s="5" t="n">
        <v>0.2041</v>
      </c>
      <c r="AD60" s="4" t="n">
        <f aca="false">IF(Y60=$E60,1,0)</f>
        <v>0</v>
      </c>
      <c r="AE60" s="4" t="n">
        <f aca="false">IF(OR(Y60=$E60,AA60=$E60,AB60=$E60),1,0)</f>
        <v>1</v>
      </c>
      <c r="AF60" s="4" t="n">
        <v>2</v>
      </c>
      <c r="AG60" s="9" t="n">
        <f aca="false">-LN(MAX(AC60,0.0001))</f>
        <v>1.58914520916634</v>
      </c>
    </row>
    <row r="61" customFormat="false" ht="15" hidden="false" customHeight="false" outlineLevel="0" collapsed="false">
      <c r="A61" s="4" t="n">
        <v>2018</v>
      </c>
      <c r="B61" s="4" t="n">
        <v>19</v>
      </c>
      <c r="C61" s="4" t="s">
        <v>132</v>
      </c>
      <c r="D61" s="4" t="s">
        <v>105</v>
      </c>
      <c r="E61" s="4" t="s">
        <v>116</v>
      </c>
      <c r="F61" s="4" t="n">
        <v>2</v>
      </c>
      <c r="G61" s="4" t="s">
        <v>116</v>
      </c>
      <c r="H61" s="5" t="n">
        <v>0.32592</v>
      </c>
      <c r="I61" s="4" t="s">
        <v>112</v>
      </c>
      <c r="J61" s="4" t="s">
        <v>107</v>
      </c>
      <c r="K61" s="5" t="n">
        <v>0.32592</v>
      </c>
      <c r="L61" s="4" t="n">
        <f aca="false">IF(G61=$E61,1,0)</f>
        <v>1</v>
      </c>
      <c r="M61" s="4" t="n">
        <f aca="false">IF(OR(G61=$E61,I61=$E61,J61=$E61),1,0)</f>
        <v>1</v>
      </c>
      <c r="N61" s="4" t="n">
        <v>2</v>
      </c>
      <c r="O61" s="9" t="n">
        <f aca="false">-LN(MAX(K61,0.0001))</f>
        <v>1.12110332650364</v>
      </c>
      <c r="P61" s="4" t="s">
        <v>107</v>
      </c>
      <c r="Q61" s="5" t="n">
        <v>0.43668</v>
      </c>
      <c r="R61" s="4" t="s">
        <v>108</v>
      </c>
      <c r="S61" s="4" t="s">
        <v>114</v>
      </c>
      <c r="T61" s="5" t="n">
        <v>0.06798</v>
      </c>
      <c r="U61" s="4" t="n">
        <f aca="false">IF(P61=$E61,1,0)</f>
        <v>0</v>
      </c>
      <c r="V61" s="4" t="n">
        <f aca="false">IF(OR(P61=$E61,R61=$E61,S61=$E61),1,0)</f>
        <v>0</v>
      </c>
      <c r="W61" s="4" t="n">
        <v>1</v>
      </c>
      <c r="X61" s="9" t="n">
        <f aca="false">-LN(MAX(T61,0.0001))</f>
        <v>2.68854173471417</v>
      </c>
      <c r="Y61" s="4" t="s">
        <v>112</v>
      </c>
      <c r="Z61" s="5" t="n">
        <v>0.45728</v>
      </c>
      <c r="AA61" s="4" t="s">
        <v>116</v>
      </c>
      <c r="AB61" s="4" t="s">
        <v>107</v>
      </c>
      <c r="AC61" s="5" t="n">
        <v>0.19708</v>
      </c>
      <c r="AD61" s="4" t="n">
        <f aca="false">IF(Y61=$E61,1,0)</f>
        <v>0</v>
      </c>
      <c r="AE61" s="4" t="n">
        <f aca="false">IF(OR(Y61=$E61,AA61=$E61,AB61=$E61),1,0)</f>
        <v>1</v>
      </c>
      <c r="AF61" s="4" t="n">
        <v>1</v>
      </c>
      <c r="AG61" s="9" t="n">
        <f aca="false">-LN(MAX(AC61,0.0001))</f>
        <v>1.62414554130637</v>
      </c>
    </row>
    <row r="62" customFormat="false" ht="15" hidden="false" customHeight="false" outlineLevel="0" collapsed="false">
      <c r="A62" s="4" t="n">
        <v>2018</v>
      </c>
      <c r="B62" s="4" t="n">
        <v>20</v>
      </c>
      <c r="C62" s="4" t="s">
        <v>133</v>
      </c>
      <c r="D62" s="4" t="s">
        <v>105</v>
      </c>
      <c r="E62" s="4" t="s">
        <v>107</v>
      </c>
      <c r="F62" s="4" t="n">
        <v>1</v>
      </c>
      <c r="G62" s="4" t="s">
        <v>107</v>
      </c>
      <c r="H62" s="5" t="n">
        <v>0.4452</v>
      </c>
      <c r="I62" s="4" t="s">
        <v>108</v>
      </c>
      <c r="J62" s="4" t="s">
        <v>116</v>
      </c>
      <c r="K62" s="5" t="n">
        <v>0.4452</v>
      </c>
      <c r="L62" s="4" t="n">
        <f aca="false">IF(G62=$E62,1,0)</f>
        <v>1</v>
      </c>
      <c r="M62" s="4" t="n">
        <f aca="false">IF(OR(G62=$E62,I62=$E62,J62=$E62),1,0)</f>
        <v>1</v>
      </c>
      <c r="N62" s="4" t="n">
        <v>1</v>
      </c>
      <c r="O62" s="9" t="n">
        <f aca="false">-LN(MAX(K62,0.0001))</f>
        <v>0.809231659580747</v>
      </c>
      <c r="P62" s="4" t="s">
        <v>107</v>
      </c>
      <c r="Q62" s="5" t="n">
        <v>0.38348</v>
      </c>
      <c r="R62" s="4" t="s">
        <v>108</v>
      </c>
      <c r="S62" s="4" t="s">
        <v>111</v>
      </c>
      <c r="T62" s="5" t="n">
        <v>0.38348</v>
      </c>
      <c r="U62" s="4" t="n">
        <f aca="false">IF(P62=$E62,1,0)</f>
        <v>1</v>
      </c>
      <c r="V62" s="4" t="n">
        <f aca="false">IF(OR(P62=$E62,R62=$E62,S62=$E62),1,0)</f>
        <v>1</v>
      </c>
      <c r="W62" s="4" t="n">
        <v>2</v>
      </c>
      <c r="X62" s="9" t="n">
        <f aca="false">-LN(MAX(T62,0.0001))</f>
        <v>0.958467810773341</v>
      </c>
      <c r="Y62" s="4" t="s">
        <v>107</v>
      </c>
      <c r="Z62" s="5" t="n">
        <v>0.54626</v>
      </c>
      <c r="AA62" s="4" t="s">
        <v>108</v>
      </c>
      <c r="AB62" s="4" t="s">
        <v>114</v>
      </c>
      <c r="AC62" s="5" t="n">
        <v>0.54626</v>
      </c>
      <c r="AD62" s="4" t="n">
        <f aca="false">IF(Y62=$E62,1,0)</f>
        <v>1</v>
      </c>
      <c r="AE62" s="4" t="n">
        <f aca="false">IF(OR(Y62=$E62,AA62=$E62,AB62=$E62),1,0)</f>
        <v>1</v>
      </c>
      <c r="AF62" s="4" t="n">
        <v>1</v>
      </c>
      <c r="AG62" s="9" t="n">
        <f aca="false">-LN(MAX(AC62,0.0001))</f>
        <v>0.604660226103746</v>
      </c>
    </row>
    <row r="63" customFormat="false" ht="15" hidden="false" customHeight="false" outlineLevel="0" collapsed="false">
      <c r="A63" s="4" t="n">
        <v>2018</v>
      </c>
      <c r="B63" s="4" t="n">
        <v>21</v>
      </c>
      <c r="C63" s="4" t="s">
        <v>134</v>
      </c>
      <c r="D63" s="4" t="s">
        <v>105</v>
      </c>
      <c r="E63" s="4" t="s">
        <v>107</v>
      </c>
      <c r="F63" s="4" t="n">
        <v>1</v>
      </c>
      <c r="G63" s="4" t="s">
        <v>107</v>
      </c>
      <c r="H63" s="5" t="n">
        <v>0.52122</v>
      </c>
      <c r="I63" s="4" t="s">
        <v>114</v>
      </c>
      <c r="J63" s="4" t="s">
        <v>108</v>
      </c>
      <c r="K63" s="5" t="n">
        <v>0.52122</v>
      </c>
      <c r="L63" s="4" t="n">
        <f aca="false">IF(G63=$E63,1,0)</f>
        <v>1</v>
      </c>
      <c r="M63" s="4" t="n">
        <f aca="false">IF(OR(G63=$E63,I63=$E63,J63=$E63),1,0)</f>
        <v>1</v>
      </c>
      <c r="N63" s="4" t="n">
        <v>2</v>
      </c>
      <c r="O63" s="9" t="n">
        <f aca="false">-LN(MAX(K63,0.0001))</f>
        <v>0.651583061482253</v>
      </c>
      <c r="P63" s="4" t="s">
        <v>107</v>
      </c>
      <c r="Q63" s="5" t="n">
        <v>0.4229</v>
      </c>
      <c r="R63" s="4" t="s">
        <v>108</v>
      </c>
      <c r="S63" s="4" t="s">
        <v>111</v>
      </c>
      <c r="T63" s="5" t="n">
        <v>0.4229</v>
      </c>
      <c r="U63" s="4" t="n">
        <f aca="false">IF(P63=$E63,1,0)</f>
        <v>1</v>
      </c>
      <c r="V63" s="4" t="n">
        <f aca="false">IF(OR(P63=$E63,R63=$E63,S63=$E63),1,0)</f>
        <v>1</v>
      </c>
      <c r="W63" s="4" t="n">
        <v>2</v>
      </c>
      <c r="X63" s="9" t="n">
        <f aca="false">-LN(MAX(T63,0.0001))</f>
        <v>0.860619534503694</v>
      </c>
      <c r="Y63" s="4" t="s">
        <v>107</v>
      </c>
      <c r="Z63" s="5" t="n">
        <v>0.54028</v>
      </c>
      <c r="AA63" s="4" t="s">
        <v>114</v>
      </c>
      <c r="AB63" s="4" t="s">
        <v>108</v>
      </c>
      <c r="AC63" s="5" t="n">
        <v>0.54028</v>
      </c>
      <c r="AD63" s="4" t="n">
        <f aca="false">IF(Y63=$E63,1,0)</f>
        <v>1</v>
      </c>
      <c r="AE63" s="4" t="n">
        <f aca="false">IF(OR(Y63=$E63,AA63=$E63,AB63=$E63),1,0)</f>
        <v>1</v>
      </c>
      <c r="AF63" s="4" t="n">
        <v>2</v>
      </c>
      <c r="AG63" s="9" t="n">
        <f aca="false">-LN(MAX(AC63,0.0001))</f>
        <v>0.615667755289574</v>
      </c>
    </row>
    <row r="64" customFormat="false" ht="15" hidden="false" customHeight="false" outlineLevel="0" collapsed="false">
      <c r="A64" s="4" t="n">
        <v>2019</v>
      </c>
      <c r="B64" s="4" t="n">
        <v>1</v>
      </c>
      <c r="C64" s="4" t="s">
        <v>104</v>
      </c>
      <c r="D64" s="4" t="s">
        <v>105</v>
      </c>
      <c r="E64" s="4" t="s">
        <v>114</v>
      </c>
      <c r="F64" s="4" t="n">
        <v>2</v>
      </c>
      <c r="G64" s="4" t="s">
        <v>107</v>
      </c>
      <c r="H64" s="5" t="n">
        <v>0.47846</v>
      </c>
      <c r="I64" s="4" t="s">
        <v>114</v>
      </c>
      <c r="J64" s="4" t="s">
        <v>108</v>
      </c>
      <c r="K64" s="5" t="n">
        <v>0.21784</v>
      </c>
      <c r="L64" s="4" t="n">
        <f aca="false">IF(G64=$E64,1,0)</f>
        <v>0</v>
      </c>
      <c r="M64" s="4" t="n">
        <f aca="false">IF(OR(G64=$E64,I64=$E64,J64=$E64),1,0)</f>
        <v>1</v>
      </c>
      <c r="N64" s="4" t="n">
        <v>2</v>
      </c>
      <c r="O64" s="9" t="n">
        <f aca="false">-LN(MAX(K64,0.0001))</f>
        <v>1.52399443061663</v>
      </c>
      <c r="P64" s="4" t="s">
        <v>107</v>
      </c>
      <c r="Q64" s="5" t="n">
        <v>0.34404</v>
      </c>
      <c r="R64" s="4" t="s">
        <v>108</v>
      </c>
      <c r="S64" s="4" t="s">
        <v>114</v>
      </c>
      <c r="T64" s="5" t="n">
        <v>0.12792</v>
      </c>
      <c r="U64" s="4" t="n">
        <f aca="false">IF(P64=$E64,1,0)</f>
        <v>0</v>
      </c>
      <c r="V64" s="4" t="n">
        <f aca="false">IF(OR(P64=$E64,R64=$E64,S64=$E64),1,0)</f>
        <v>1</v>
      </c>
      <c r="W64" s="4" t="n">
        <v>2</v>
      </c>
      <c r="X64" s="9" t="n">
        <f aca="false">-LN(MAX(T64,0.0001))</f>
        <v>2.05635021045644</v>
      </c>
      <c r="Y64" s="4" t="s">
        <v>107</v>
      </c>
      <c r="Z64" s="5" t="n">
        <v>0.54506</v>
      </c>
      <c r="AA64" s="4" t="s">
        <v>114</v>
      </c>
      <c r="AB64" s="4" t="s">
        <v>108</v>
      </c>
      <c r="AC64" s="5" t="n">
        <v>0.19972</v>
      </c>
      <c r="AD64" s="4" t="n">
        <f aca="false">IF(Y64=$E64,1,0)</f>
        <v>0</v>
      </c>
      <c r="AE64" s="4" t="n">
        <f aca="false">IF(OR(Y64=$E64,AA64=$E64,AB64=$E64),1,0)</f>
        <v>1</v>
      </c>
      <c r="AF64" s="4" t="n">
        <v>2</v>
      </c>
      <c r="AG64" s="9" t="n">
        <f aca="false">-LN(MAX(AC64,0.0001))</f>
        <v>1.61083889334973</v>
      </c>
    </row>
    <row r="65" customFormat="false" ht="15" hidden="false" customHeight="false" outlineLevel="0" collapsed="false">
      <c r="A65" s="4" t="n">
        <v>2019</v>
      </c>
      <c r="B65" s="4" t="n">
        <v>2</v>
      </c>
      <c r="C65" s="4" t="s">
        <v>109</v>
      </c>
      <c r="D65" s="4" t="s">
        <v>105</v>
      </c>
      <c r="E65" s="4" t="s">
        <v>107</v>
      </c>
      <c r="F65" s="4" t="n">
        <v>3</v>
      </c>
      <c r="G65" s="4" t="s">
        <v>139</v>
      </c>
      <c r="H65" s="5" t="n">
        <v>0.27826</v>
      </c>
      <c r="I65" s="4" t="s">
        <v>107</v>
      </c>
      <c r="J65" s="4" t="s">
        <v>114</v>
      </c>
      <c r="K65" s="5" t="n">
        <v>0.27174</v>
      </c>
      <c r="L65" s="4" t="n">
        <f aca="false">IF(G65=$E65,1,0)</f>
        <v>0</v>
      </c>
      <c r="M65" s="4" t="n">
        <f aca="false">IF(OR(G65=$E65,I65=$E65,J65=$E65),1,0)</f>
        <v>1</v>
      </c>
      <c r="N65" s="4" t="n">
        <v>3</v>
      </c>
      <c r="O65" s="9" t="n">
        <f aca="false">-LN(MAX(K65,0.0001))</f>
        <v>1.30290955218596</v>
      </c>
      <c r="P65" s="4" t="s">
        <v>107</v>
      </c>
      <c r="Q65" s="5" t="n">
        <v>0.47438</v>
      </c>
      <c r="R65" s="4" t="s">
        <v>114</v>
      </c>
      <c r="S65" s="4" t="s">
        <v>108</v>
      </c>
      <c r="T65" s="5" t="n">
        <v>0.47438</v>
      </c>
      <c r="U65" s="4" t="n">
        <f aca="false">IF(P65=$E65,1,0)</f>
        <v>1</v>
      </c>
      <c r="V65" s="4" t="n">
        <f aca="false">IF(OR(P65=$E65,R65=$E65,S65=$E65),1,0)</f>
        <v>1</v>
      </c>
      <c r="W65" s="4" t="n">
        <v>2</v>
      </c>
      <c r="X65" s="9" t="n">
        <f aca="false">-LN(MAX(T65,0.0001))</f>
        <v>0.745746590703337</v>
      </c>
      <c r="Y65" s="4" t="s">
        <v>139</v>
      </c>
      <c r="Z65" s="5" t="n">
        <v>0.52862</v>
      </c>
      <c r="AA65" s="4" t="s">
        <v>108</v>
      </c>
      <c r="AB65" s="4" t="s">
        <v>107</v>
      </c>
      <c r="AC65" s="5" t="n">
        <v>0.09346</v>
      </c>
      <c r="AD65" s="4" t="n">
        <f aca="false">IF(Y65=$E65,1,0)</f>
        <v>0</v>
      </c>
      <c r="AE65" s="4" t="n">
        <f aca="false">IF(OR(Y65=$E65,AA65=$E65,AB65=$E65),1,0)</f>
        <v>1</v>
      </c>
      <c r="AF65" s="4" t="n">
        <v>2</v>
      </c>
      <c r="AG65" s="9" t="n">
        <f aca="false">-LN(MAX(AC65,0.0001))</f>
        <v>2.37022174170986</v>
      </c>
    </row>
    <row r="66" customFormat="false" ht="15" hidden="false" customHeight="false" outlineLevel="0" collapsed="false">
      <c r="A66" s="4" t="n">
        <v>2019</v>
      </c>
      <c r="B66" s="4" t="n">
        <v>3</v>
      </c>
      <c r="C66" s="4" t="s">
        <v>110</v>
      </c>
      <c r="D66" s="4" t="s">
        <v>105</v>
      </c>
      <c r="E66" s="4" t="s">
        <v>107</v>
      </c>
      <c r="F66" s="4" t="n">
        <v>2</v>
      </c>
      <c r="G66" s="4" t="s">
        <v>114</v>
      </c>
      <c r="H66" s="5" t="n">
        <v>0.55028</v>
      </c>
      <c r="I66" s="4" t="s">
        <v>107</v>
      </c>
      <c r="J66" s="4" t="s">
        <v>108</v>
      </c>
      <c r="K66" s="5" t="n">
        <v>0.29166</v>
      </c>
      <c r="L66" s="4" t="n">
        <f aca="false">IF(G66=$E66,1,0)</f>
        <v>0</v>
      </c>
      <c r="M66" s="4" t="n">
        <f aca="false">IF(OR(G66=$E66,I66=$E66,J66=$E66),1,0)</f>
        <v>1</v>
      </c>
      <c r="N66" s="4" t="n">
        <v>3</v>
      </c>
      <c r="O66" s="9" t="n">
        <f aca="false">-LN(MAX(K66,0.0001))</f>
        <v>1.23216653869672</v>
      </c>
      <c r="P66" s="4" t="s">
        <v>107</v>
      </c>
      <c r="Q66" s="5" t="n">
        <v>0.48404</v>
      </c>
      <c r="R66" s="4" t="s">
        <v>114</v>
      </c>
      <c r="S66" s="4" t="s">
        <v>108</v>
      </c>
      <c r="T66" s="5" t="n">
        <v>0.48404</v>
      </c>
      <c r="U66" s="4" t="n">
        <f aca="false">IF(P66=$E66,1,0)</f>
        <v>1</v>
      </c>
      <c r="V66" s="4" t="n">
        <f aca="false">IF(OR(P66=$E66,R66=$E66,S66=$E66),1,0)</f>
        <v>1</v>
      </c>
      <c r="W66" s="4" t="n">
        <v>3</v>
      </c>
      <c r="X66" s="9" t="n">
        <f aca="false">-LN(MAX(T66,0.0001))</f>
        <v>0.725587731052285</v>
      </c>
      <c r="Y66" s="4" t="s">
        <v>114</v>
      </c>
      <c r="Z66" s="5" t="n">
        <v>0.54682</v>
      </c>
      <c r="AA66" s="4" t="s">
        <v>107</v>
      </c>
      <c r="AB66" s="4" t="s">
        <v>108</v>
      </c>
      <c r="AC66" s="5" t="n">
        <v>0.20112</v>
      </c>
      <c r="AD66" s="4" t="n">
        <f aca="false">IF(Y66=$E66,1,0)</f>
        <v>0</v>
      </c>
      <c r="AE66" s="4" t="n">
        <f aca="false">IF(OR(Y66=$E66,AA66=$E66,AB66=$E66),1,0)</f>
        <v>1</v>
      </c>
      <c r="AF66" s="4" t="n">
        <v>3</v>
      </c>
      <c r="AG66" s="9" t="n">
        <f aca="false">-LN(MAX(AC66,0.0001))</f>
        <v>1.6038535341402</v>
      </c>
    </row>
    <row r="67" customFormat="false" ht="15" hidden="false" customHeight="false" outlineLevel="0" collapsed="false">
      <c r="A67" s="4" t="n">
        <v>2019</v>
      </c>
      <c r="B67" s="4" t="n">
        <v>4</v>
      </c>
      <c r="C67" s="4" t="s">
        <v>135</v>
      </c>
      <c r="D67" s="4" t="s">
        <v>105</v>
      </c>
      <c r="E67" s="4" t="s">
        <v>114</v>
      </c>
      <c r="F67" s="4" t="n">
        <v>1</v>
      </c>
      <c r="G67" s="4" t="s">
        <v>114</v>
      </c>
      <c r="H67" s="5" t="n">
        <v>0.56084</v>
      </c>
      <c r="I67" s="4" t="s">
        <v>107</v>
      </c>
      <c r="J67" s="4" t="s">
        <v>108</v>
      </c>
      <c r="K67" s="5" t="n">
        <v>0.56084</v>
      </c>
      <c r="L67" s="4" t="n">
        <f aca="false">IF(G67=$E67,1,0)</f>
        <v>1</v>
      </c>
      <c r="M67" s="4" t="n">
        <f aca="false">IF(OR(G67=$E67,I67=$E67,J67=$E67),1,0)</f>
        <v>1</v>
      </c>
      <c r="N67" s="4" t="n">
        <v>3</v>
      </c>
      <c r="O67" s="9" t="n">
        <f aca="false">-LN(MAX(K67,0.0001))</f>
        <v>0.578319619129206</v>
      </c>
      <c r="P67" s="4" t="s">
        <v>107</v>
      </c>
      <c r="Q67" s="5" t="n">
        <v>0.50398</v>
      </c>
      <c r="R67" s="4" t="s">
        <v>114</v>
      </c>
      <c r="S67" s="4" t="s">
        <v>108</v>
      </c>
      <c r="T67" s="5" t="n">
        <v>0.2032</v>
      </c>
      <c r="U67" s="4" t="n">
        <f aca="false">IF(P67=$E67,1,0)</f>
        <v>0</v>
      </c>
      <c r="V67" s="4" t="n">
        <f aca="false">IF(OR(P67=$E67,R67=$E67,S67=$E67),1,0)</f>
        <v>1</v>
      </c>
      <c r="W67" s="4" t="n">
        <v>3</v>
      </c>
      <c r="X67" s="9" t="n">
        <f aca="false">-LN(MAX(T67,0.0001))</f>
        <v>1.59356456327781</v>
      </c>
      <c r="Y67" s="4" t="s">
        <v>114</v>
      </c>
      <c r="Z67" s="5" t="n">
        <v>0.5669</v>
      </c>
      <c r="AA67" s="4" t="s">
        <v>107</v>
      </c>
      <c r="AB67" s="4" t="s">
        <v>108</v>
      </c>
      <c r="AC67" s="5" t="n">
        <v>0.5669</v>
      </c>
      <c r="AD67" s="4" t="n">
        <f aca="false">IF(Y67=$E67,1,0)</f>
        <v>1</v>
      </c>
      <c r="AE67" s="4" t="n">
        <f aca="false">IF(OR(Y67=$E67,AA67=$E67,AB67=$E67),1,0)</f>
        <v>1</v>
      </c>
      <c r="AF67" s="4" t="n">
        <v>3</v>
      </c>
      <c r="AG67" s="9" t="n">
        <f aca="false">-LN(MAX(AC67,0.0001))</f>
        <v>0.567572357651879</v>
      </c>
    </row>
    <row r="68" customFormat="false" ht="15" hidden="false" customHeight="false" outlineLevel="0" collapsed="false">
      <c r="A68" s="4" t="n">
        <v>2019</v>
      </c>
      <c r="B68" s="4" t="n">
        <v>5</v>
      </c>
      <c r="C68" s="4" t="s">
        <v>115</v>
      </c>
      <c r="D68" s="4" t="s">
        <v>105</v>
      </c>
      <c r="E68" s="4" t="s">
        <v>107</v>
      </c>
      <c r="F68" s="4" t="n">
        <v>2</v>
      </c>
      <c r="G68" s="4" t="s">
        <v>114</v>
      </c>
      <c r="H68" s="5" t="n">
        <v>0.68522</v>
      </c>
      <c r="I68" s="4" t="s">
        <v>107</v>
      </c>
      <c r="J68" s="4" t="s">
        <v>108</v>
      </c>
      <c r="K68" s="5" t="n">
        <v>0.18994</v>
      </c>
      <c r="L68" s="4" t="n">
        <f aca="false">IF(G68=$E68,1,0)</f>
        <v>0</v>
      </c>
      <c r="M68" s="4" t="n">
        <f aca="false">IF(OR(G68=$E68,I68=$E68,J68=$E68),1,0)</f>
        <v>1</v>
      </c>
      <c r="N68" s="4" t="n">
        <v>2</v>
      </c>
      <c r="O68" s="9" t="n">
        <f aca="false">-LN(MAX(K68,0.0001))</f>
        <v>1.66104704616733</v>
      </c>
      <c r="P68" s="4" t="s">
        <v>107</v>
      </c>
      <c r="Q68" s="5" t="n">
        <v>0.4862</v>
      </c>
      <c r="R68" s="4" t="s">
        <v>114</v>
      </c>
      <c r="S68" s="4" t="s">
        <v>108</v>
      </c>
      <c r="T68" s="5" t="n">
        <v>0.4862</v>
      </c>
      <c r="U68" s="4" t="n">
        <f aca="false">IF(P68=$E68,1,0)</f>
        <v>1</v>
      </c>
      <c r="V68" s="4" t="n">
        <f aca="false">IF(OR(P68=$E68,R68=$E68,S68=$E68),1,0)</f>
        <v>1</v>
      </c>
      <c r="W68" s="4" t="n">
        <v>2</v>
      </c>
      <c r="X68" s="9" t="n">
        <f aca="false">-LN(MAX(T68,0.0001))</f>
        <v>0.721135217100114</v>
      </c>
      <c r="Y68" s="4" t="s">
        <v>114</v>
      </c>
      <c r="Z68" s="5" t="n">
        <v>0.5655</v>
      </c>
      <c r="AA68" s="4" t="s">
        <v>107</v>
      </c>
      <c r="AB68" s="4" t="s">
        <v>108</v>
      </c>
      <c r="AC68" s="5" t="n">
        <v>0.20094</v>
      </c>
      <c r="AD68" s="4" t="n">
        <f aca="false">IF(Y68=$E68,1,0)</f>
        <v>0</v>
      </c>
      <c r="AE68" s="4" t="n">
        <f aca="false">IF(OR(Y68=$E68,AA68=$E68,AB68=$E68),1,0)</f>
        <v>1</v>
      </c>
      <c r="AF68" s="4" t="n">
        <v>2</v>
      </c>
      <c r="AG68" s="9" t="n">
        <f aca="false">-LN(MAX(AC68,0.0001))</f>
        <v>1.60474892294797</v>
      </c>
    </row>
    <row r="69" customFormat="false" ht="15" hidden="false" customHeight="false" outlineLevel="0" collapsed="false">
      <c r="A69" s="4" t="n">
        <v>2019</v>
      </c>
      <c r="B69" s="4" t="n">
        <v>6</v>
      </c>
      <c r="C69" s="4" t="s">
        <v>117</v>
      </c>
      <c r="D69" s="4" t="s">
        <v>105</v>
      </c>
      <c r="E69" s="4" t="s">
        <v>107</v>
      </c>
      <c r="F69" s="4" t="n">
        <v>1</v>
      </c>
      <c r="G69" s="4" t="s">
        <v>107</v>
      </c>
      <c r="H69" s="5" t="n">
        <v>0.6221</v>
      </c>
      <c r="I69" s="4" t="s">
        <v>114</v>
      </c>
      <c r="J69" s="4" t="s">
        <v>116</v>
      </c>
      <c r="K69" s="5" t="n">
        <v>0.6221</v>
      </c>
      <c r="L69" s="4" t="n">
        <f aca="false">IF(G69=$E69,1,0)</f>
        <v>1</v>
      </c>
      <c r="M69" s="4" t="n">
        <f aca="false">IF(OR(G69=$E69,I69=$E69,J69=$E69),1,0)</f>
        <v>1</v>
      </c>
      <c r="N69" s="4" t="n">
        <v>2</v>
      </c>
      <c r="O69" s="9" t="n">
        <f aca="false">-LN(MAX(K69,0.0001))</f>
        <v>0.474654427461163</v>
      </c>
      <c r="P69" s="4" t="s">
        <v>107</v>
      </c>
      <c r="Q69" s="5" t="n">
        <v>0.51586</v>
      </c>
      <c r="R69" s="4" t="s">
        <v>114</v>
      </c>
      <c r="S69" s="4" t="s">
        <v>108</v>
      </c>
      <c r="T69" s="5" t="n">
        <v>0.51586</v>
      </c>
      <c r="U69" s="4" t="n">
        <f aca="false">IF(P69=$E69,1,0)</f>
        <v>1</v>
      </c>
      <c r="V69" s="4" t="n">
        <f aca="false">IF(OR(P69=$E69,R69=$E69,S69=$E69),1,0)</f>
        <v>1</v>
      </c>
      <c r="W69" s="4" t="n">
        <v>3</v>
      </c>
      <c r="X69" s="9" t="n">
        <f aca="false">-LN(MAX(T69,0.0001))</f>
        <v>0.661919868143373</v>
      </c>
      <c r="Y69" s="4" t="s">
        <v>107</v>
      </c>
      <c r="Z69" s="5" t="n">
        <v>0.56906</v>
      </c>
      <c r="AA69" s="4" t="s">
        <v>114</v>
      </c>
      <c r="AB69" s="4" t="s">
        <v>116</v>
      </c>
      <c r="AC69" s="5" t="n">
        <v>0.56906</v>
      </c>
      <c r="AD69" s="4" t="n">
        <f aca="false">IF(Y69=$E69,1,0)</f>
        <v>1</v>
      </c>
      <c r="AE69" s="4" t="n">
        <f aca="false">IF(OR(Y69=$E69,AA69=$E69,AB69=$E69),1,0)</f>
        <v>1</v>
      </c>
      <c r="AF69" s="4" t="n">
        <v>2</v>
      </c>
      <c r="AG69" s="9" t="n">
        <f aca="false">-LN(MAX(AC69,0.0001))</f>
        <v>0.563769402260415</v>
      </c>
    </row>
    <row r="70" customFormat="false" ht="15" hidden="false" customHeight="false" outlineLevel="0" collapsed="false">
      <c r="A70" s="4" t="n">
        <v>2019</v>
      </c>
      <c r="B70" s="4" t="n">
        <v>7</v>
      </c>
      <c r="C70" s="4" t="s">
        <v>118</v>
      </c>
      <c r="D70" s="4" t="s">
        <v>105</v>
      </c>
      <c r="E70" s="4" t="s">
        <v>107</v>
      </c>
      <c r="F70" s="4" t="n">
        <v>2</v>
      </c>
      <c r="G70" s="4" t="s">
        <v>108</v>
      </c>
      <c r="H70" s="5" t="n">
        <v>0.44528</v>
      </c>
      <c r="I70" s="4" t="s">
        <v>107</v>
      </c>
      <c r="J70" s="4" t="s">
        <v>114</v>
      </c>
      <c r="K70" s="5" t="n">
        <v>0.4075</v>
      </c>
      <c r="L70" s="4" t="n">
        <f aca="false">IF(G70=$E70,1,0)</f>
        <v>0</v>
      </c>
      <c r="M70" s="4" t="n">
        <f aca="false">IF(OR(G70=$E70,I70=$E70,J70=$E70),1,0)</f>
        <v>1</v>
      </c>
      <c r="N70" s="4" t="n">
        <v>2</v>
      </c>
      <c r="O70" s="9" t="n">
        <f aca="false">-LN(MAX(K70,0.0001))</f>
        <v>0.89771434630122</v>
      </c>
      <c r="P70" s="4" t="s">
        <v>107</v>
      </c>
      <c r="Q70" s="5" t="n">
        <v>0.53322</v>
      </c>
      <c r="R70" s="4" t="s">
        <v>114</v>
      </c>
      <c r="S70" s="4" t="s">
        <v>108</v>
      </c>
      <c r="T70" s="5" t="n">
        <v>0.53322</v>
      </c>
      <c r="U70" s="4" t="n">
        <f aca="false">IF(P70=$E70,1,0)</f>
        <v>1</v>
      </c>
      <c r="V70" s="4" t="n">
        <f aca="false">IF(OR(P70=$E70,R70=$E70,S70=$E70),1,0)</f>
        <v>1</v>
      </c>
      <c r="W70" s="4" t="n">
        <v>2</v>
      </c>
      <c r="X70" s="9" t="n">
        <f aca="false">-LN(MAX(T70,0.0001))</f>
        <v>0.628821182003698</v>
      </c>
      <c r="Y70" s="4" t="s">
        <v>108</v>
      </c>
      <c r="Z70" s="5" t="n">
        <v>0.52098</v>
      </c>
      <c r="AA70" s="4" t="s">
        <v>107</v>
      </c>
      <c r="AB70" s="4" t="s">
        <v>139</v>
      </c>
      <c r="AC70" s="5" t="n">
        <v>0.22128</v>
      </c>
      <c r="AD70" s="4" t="n">
        <f aca="false">IF(Y70=$E70,1,0)</f>
        <v>0</v>
      </c>
      <c r="AE70" s="4" t="n">
        <f aca="false">IF(OR(Y70=$E70,AA70=$E70,AB70=$E70),1,0)</f>
        <v>1</v>
      </c>
      <c r="AF70" s="4" t="n">
        <v>3</v>
      </c>
      <c r="AG70" s="9" t="n">
        <f aca="false">-LN(MAX(AC70,0.0001))</f>
        <v>1.50832641106569</v>
      </c>
    </row>
    <row r="71" customFormat="false" ht="15" hidden="false" customHeight="false" outlineLevel="0" collapsed="false">
      <c r="A71" s="4" t="n">
        <v>2019</v>
      </c>
      <c r="B71" s="4" t="n">
        <v>8</v>
      </c>
      <c r="C71" s="4" t="s">
        <v>138</v>
      </c>
      <c r="D71" s="4" t="s">
        <v>105</v>
      </c>
      <c r="E71" s="4" t="s">
        <v>107</v>
      </c>
      <c r="F71" s="4" t="n">
        <v>1</v>
      </c>
      <c r="G71" s="4" t="s">
        <v>107</v>
      </c>
      <c r="H71" s="5" t="n">
        <v>0.68656</v>
      </c>
      <c r="I71" s="4" t="s">
        <v>114</v>
      </c>
      <c r="J71" s="4" t="s">
        <v>139</v>
      </c>
      <c r="K71" s="5" t="n">
        <v>0.68656</v>
      </c>
      <c r="L71" s="4" t="n">
        <f aca="false">IF(G71=$E71,1,0)</f>
        <v>1</v>
      </c>
      <c r="M71" s="4" t="n">
        <f aca="false">IF(OR(G71=$E71,I71=$E71,J71=$E71),1,0)</f>
        <v>1</v>
      </c>
      <c r="N71" s="4" t="n">
        <v>3</v>
      </c>
      <c r="O71" s="9" t="n">
        <f aca="false">-LN(MAX(K71,0.0001))</f>
        <v>0.376061657738923</v>
      </c>
      <c r="P71" s="4" t="s">
        <v>107</v>
      </c>
      <c r="Q71" s="5" t="n">
        <v>0.5368</v>
      </c>
      <c r="R71" s="4" t="s">
        <v>114</v>
      </c>
      <c r="S71" s="4" t="s">
        <v>108</v>
      </c>
      <c r="T71" s="5" t="n">
        <v>0.5368</v>
      </c>
      <c r="U71" s="4" t="n">
        <f aca="false">IF(P71=$E71,1,0)</f>
        <v>1</v>
      </c>
      <c r="V71" s="4" t="n">
        <f aca="false">IF(OR(P71=$E71,R71=$E71,S71=$E71),1,0)</f>
        <v>1</v>
      </c>
      <c r="W71" s="4" t="n">
        <v>2</v>
      </c>
      <c r="X71" s="9" t="n">
        <f aca="false">-LN(MAX(T71,0.0001))</f>
        <v>0.622129693324665</v>
      </c>
      <c r="Y71" s="4" t="s">
        <v>107</v>
      </c>
      <c r="Z71" s="5" t="n">
        <v>0.5614</v>
      </c>
      <c r="AA71" s="4" t="s">
        <v>114</v>
      </c>
      <c r="AB71" s="4" t="s">
        <v>139</v>
      </c>
      <c r="AC71" s="5" t="n">
        <v>0.5614</v>
      </c>
      <c r="AD71" s="4" t="n">
        <f aca="false">IF(Y71=$E71,1,0)</f>
        <v>1</v>
      </c>
      <c r="AE71" s="4" t="n">
        <f aca="false">IF(OR(Y71=$E71,AA71=$E71,AB71=$E71),1,0)</f>
        <v>1</v>
      </c>
      <c r="AF71" s="4" t="n">
        <v>3</v>
      </c>
      <c r="AG71" s="9" t="n">
        <f aca="false">-LN(MAX(AC71,0.0001))</f>
        <v>0.577321615054355</v>
      </c>
    </row>
    <row r="72" customFormat="false" ht="15" hidden="false" customHeight="false" outlineLevel="0" collapsed="false">
      <c r="A72" s="4" t="n">
        <v>2019</v>
      </c>
      <c r="B72" s="4" t="n">
        <v>9</v>
      </c>
      <c r="C72" s="4" t="s">
        <v>120</v>
      </c>
      <c r="D72" s="4" t="s">
        <v>105</v>
      </c>
      <c r="E72" s="4" t="s">
        <v>116</v>
      </c>
      <c r="F72" s="4" t="n">
        <v>2</v>
      </c>
      <c r="G72" s="4" t="s">
        <v>139</v>
      </c>
      <c r="H72" s="5" t="n">
        <v>0.37684</v>
      </c>
      <c r="I72" s="4" t="s">
        <v>107</v>
      </c>
      <c r="J72" s="4" t="s">
        <v>114</v>
      </c>
      <c r="K72" s="5" t="n">
        <v>0.10328</v>
      </c>
      <c r="L72" s="4" t="n">
        <f aca="false">IF(G72=$E72,1,0)</f>
        <v>0</v>
      </c>
      <c r="M72" s="4" t="n">
        <f aca="false">IF(OR(G72=$E72,I72=$E72,J72=$E72),1,0)</f>
        <v>0</v>
      </c>
      <c r="N72" s="4" t="n">
        <v>2</v>
      </c>
      <c r="O72" s="9" t="n">
        <f aca="false">-LN(MAX(K72,0.0001))</f>
        <v>2.27031153244375</v>
      </c>
      <c r="P72" s="4" t="s">
        <v>107</v>
      </c>
      <c r="Q72" s="5" t="n">
        <v>0.5558</v>
      </c>
      <c r="R72" s="4" t="s">
        <v>114</v>
      </c>
      <c r="S72" s="4" t="s">
        <v>108</v>
      </c>
      <c r="T72" s="5" t="n">
        <v>0.0644</v>
      </c>
      <c r="U72" s="4" t="n">
        <f aca="false">IF(P72=$E72,1,0)</f>
        <v>0</v>
      </c>
      <c r="V72" s="4" t="n">
        <f aca="false">IF(OR(P72=$E72,R72=$E72,S72=$E72),1,0)</f>
        <v>0</v>
      </c>
      <c r="W72" s="4" t="n">
        <v>1</v>
      </c>
      <c r="X72" s="9" t="n">
        <f aca="false">-LN(MAX(T72,0.0001))</f>
        <v>2.74264164587183</v>
      </c>
      <c r="Y72" s="4" t="s">
        <v>139</v>
      </c>
      <c r="Z72" s="5" t="n">
        <v>0.53078</v>
      </c>
      <c r="AA72" s="4" t="s">
        <v>116</v>
      </c>
      <c r="AB72" s="4" t="s">
        <v>114</v>
      </c>
      <c r="AC72" s="5" t="n">
        <v>0.18978</v>
      </c>
      <c r="AD72" s="4" t="n">
        <f aca="false">IF(Y72=$E72,1,0)</f>
        <v>0</v>
      </c>
      <c r="AE72" s="4" t="n">
        <f aca="false">IF(OR(Y72=$E72,AA72=$E72,AB72=$E72),1,0)</f>
        <v>1</v>
      </c>
      <c r="AF72" s="4" t="n">
        <v>3</v>
      </c>
      <c r="AG72" s="9" t="n">
        <f aca="false">-LN(MAX(AC72,0.0001))</f>
        <v>1.66188977243652</v>
      </c>
    </row>
    <row r="73" customFormat="false" ht="15" hidden="false" customHeight="false" outlineLevel="0" collapsed="false">
      <c r="A73" s="4" t="n">
        <v>2019</v>
      </c>
      <c r="B73" s="4" t="n">
        <v>10</v>
      </c>
      <c r="C73" s="4" t="s">
        <v>123</v>
      </c>
      <c r="D73" s="4" t="s">
        <v>105</v>
      </c>
      <c r="E73" s="4" t="s">
        <v>107</v>
      </c>
      <c r="F73" s="4" t="n">
        <v>2</v>
      </c>
      <c r="G73" s="4" t="s">
        <v>114</v>
      </c>
      <c r="H73" s="5" t="n">
        <v>0.4977</v>
      </c>
      <c r="I73" s="4" t="s">
        <v>107</v>
      </c>
      <c r="J73" s="4" t="s">
        <v>139</v>
      </c>
      <c r="K73" s="5" t="n">
        <v>0.24412</v>
      </c>
      <c r="L73" s="4" t="n">
        <f aca="false">IF(G73=$E73,1,0)</f>
        <v>0</v>
      </c>
      <c r="M73" s="4" t="n">
        <f aca="false">IF(OR(G73=$E73,I73=$E73,J73=$E73),1,0)</f>
        <v>1</v>
      </c>
      <c r="N73" s="4" t="n">
        <v>3</v>
      </c>
      <c r="O73" s="9" t="n">
        <f aca="false">-LN(MAX(K73,0.0001))</f>
        <v>1.41009537130584</v>
      </c>
      <c r="P73" s="4" t="s">
        <v>107</v>
      </c>
      <c r="Q73" s="5" t="n">
        <v>0.47206</v>
      </c>
      <c r="R73" s="4" t="s">
        <v>114</v>
      </c>
      <c r="S73" s="4" t="s">
        <v>108</v>
      </c>
      <c r="T73" s="5" t="n">
        <v>0.47206</v>
      </c>
      <c r="U73" s="4" t="n">
        <f aca="false">IF(P73=$E73,1,0)</f>
        <v>1</v>
      </c>
      <c r="V73" s="4" t="n">
        <f aca="false">IF(OR(P73=$E73,R73=$E73,S73=$E73),1,0)</f>
        <v>1</v>
      </c>
      <c r="W73" s="4" t="n">
        <v>2</v>
      </c>
      <c r="X73" s="9" t="n">
        <f aca="false">-LN(MAX(T73,0.0001))</f>
        <v>0.750649182831404</v>
      </c>
      <c r="Y73" s="4" t="s">
        <v>114</v>
      </c>
      <c r="Z73" s="5" t="n">
        <v>0.55902</v>
      </c>
      <c r="AA73" s="4" t="s">
        <v>107</v>
      </c>
      <c r="AB73" s="4" t="s">
        <v>139</v>
      </c>
      <c r="AC73" s="5" t="n">
        <v>0.19452</v>
      </c>
      <c r="AD73" s="4" t="n">
        <f aca="false">IF(Y73=$E73,1,0)</f>
        <v>0</v>
      </c>
      <c r="AE73" s="4" t="n">
        <f aca="false">IF(OR(Y73=$E73,AA73=$E73,AB73=$E73),1,0)</f>
        <v>1</v>
      </c>
      <c r="AF73" s="4" t="n">
        <v>3</v>
      </c>
      <c r="AG73" s="9" t="n">
        <f aca="false">-LN(MAX(AC73,0.0001))</f>
        <v>1.63722029344655</v>
      </c>
    </row>
    <row r="74" customFormat="false" ht="15" hidden="false" customHeight="false" outlineLevel="0" collapsed="false">
      <c r="A74" s="4" t="n">
        <v>2019</v>
      </c>
      <c r="B74" s="4" t="n">
        <v>11</v>
      </c>
      <c r="C74" s="4" t="s">
        <v>125</v>
      </c>
      <c r="D74" s="4" t="s">
        <v>105</v>
      </c>
      <c r="E74" s="4" t="s">
        <v>116</v>
      </c>
      <c r="F74" s="4" t="n">
        <v>2</v>
      </c>
      <c r="G74" s="4" t="s">
        <v>107</v>
      </c>
      <c r="H74" s="5" t="n">
        <v>0.6455</v>
      </c>
      <c r="I74" s="4" t="s">
        <v>114</v>
      </c>
      <c r="J74" s="4" t="s">
        <v>116</v>
      </c>
      <c r="K74" s="5" t="n">
        <v>0.10728</v>
      </c>
      <c r="L74" s="4" t="n">
        <f aca="false">IF(G74=$E74,1,0)</f>
        <v>0</v>
      </c>
      <c r="M74" s="4" t="n">
        <f aca="false">IF(OR(G74=$E74,I74=$E74,J74=$E74),1,0)</f>
        <v>1</v>
      </c>
      <c r="N74" s="4" t="n">
        <v>1</v>
      </c>
      <c r="O74" s="9" t="n">
        <f aca="false">-LN(MAX(K74,0.0001))</f>
        <v>2.23231304000871</v>
      </c>
      <c r="P74" s="4" t="s">
        <v>107</v>
      </c>
      <c r="Q74" s="5" t="n">
        <v>0.52936</v>
      </c>
      <c r="R74" s="4" t="s">
        <v>114</v>
      </c>
      <c r="S74" s="4" t="s">
        <v>116</v>
      </c>
      <c r="T74" s="5" t="n">
        <v>0.0925</v>
      </c>
      <c r="U74" s="4" t="n">
        <f aca="false">IF(P74=$E74,1,0)</f>
        <v>0</v>
      </c>
      <c r="V74" s="4" t="n">
        <f aca="false">IF(OR(P74=$E74,R74=$E74,S74=$E74),1,0)</f>
        <v>1</v>
      </c>
      <c r="W74" s="4" t="n">
        <v>1</v>
      </c>
      <c r="X74" s="9" t="n">
        <f aca="false">-LN(MAX(T74,0.0001))</f>
        <v>2.38054663446376</v>
      </c>
      <c r="Y74" s="4" t="s">
        <v>107</v>
      </c>
      <c r="Z74" s="5" t="n">
        <v>0.56872</v>
      </c>
      <c r="AA74" s="4" t="s">
        <v>116</v>
      </c>
      <c r="AB74" s="4" t="s">
        <v>114</v>
      </c>
      <c r="AC74" s="5" t="n">
        <v>0.18016</v>
      </c>
      <c r="AD74" s="4" t="n">
        <f aca="false">IF(Y74=$E74,1,0)</f>
        <v>0</v>
      </c>
      <c r="AE74" s="4" t="n">
        <f aca="false">IF(OR(Y74=$E74,AA74=$E74,AB74=$E74),1,0)</f>
        <v>1</v>
      </c>
      <c r="AF74" s="4" t="n">
        <v>1</v>
      </c>
      <c r="AG74" s="9" t="n">
        <f aca="false">-LN(MAX(AC74,0.0001))</f>
        <v>1.71390993403081</v>
      </c>
    </row>
    <row r="75" customFormat="false" ht="15" hidden="false" customHeight="false" outlineLevel="0" collapsed="false">
      <c r="A75" s="4" t="n">
        <v>2019</v>
      </c>
      <c r="B75" s="4" t="n">
        <v>12</v>
      </c>
      <c r="C75" s="4" t="s">
        <v>124</v>
      </c>
      <c r="D75" s="4" t="s">
        <v>105</v>
      </c>
      <c r="E75" s="4" t="s">
        <v>107</v>
      </c>
      <c r="F75" s="4" t="n">
        <v>3</v>
      </c>
      <c r="G75" s="4" t="s">
        <v>116</v>
      </c>
      <c r="H75" s="5" t="n">
        <v>0.42804</v>
      </c>
      <c r="I75" s="4" t="s">
        <v>108</v>
      </c>
      <c r="J75" s="4" t="s">
        <v>114</v>
      </c>
      <c r="K75" s="5" t="n">
        <v>0.12346</v>
      </c>
      <c r="L75" s="4" t="n">
        <f aca="false">IF(G75=$E75,1,0)</f>
        <v>0</v>
      </c>
      <c r="M75" s="4" t="n">
        <f aca="false">IF(OR(G75=$E75,I75=$E75,J75=$E75),1,0)</f>
        <v>0</v>
      </c>
      <c r="N75" s="4" t="n">
        <v>2</v>
      </c>
      <c r="O75" s="9" t="n">
        <f aca="false">-LN(MAX(K75,0.0001))</f>
        <v>2.09183806201639</v>
      </c>
      <c r="P75" s="4" t="s">
        <v>107</v>
      </c>
      <c r="Q75" s="5" t="n">
        <v>0.38572</v>
      </c>
      <c r="R75" s="4" t="s">
        <v>114</v>
      </c>
      <c r="S75" s="4" t="s">
        <v>116</v>
      </c>
      <c r="T75" s="5" t="n">
        <v>0.38572</v>
      </c>
      <c r="U75" s="4" t="n">
        <f aca="false">IF(P75=$E75,1,0)</f>
        <v>1</v>
      </c>
      <c r="V75" s="4" t="n">
        <f aca="false">IF(OR(P75=$E75,R75=$E75,S75=$E75),1,0)</f>
        <v>1</v>
      </c>
      <c r="W75" s="4" t="n">
        <v>2</v>
      </c>
      <c r="X75" s="9" t="n">
        <f aca="false">-LN(MAX(T75,0.0001))</f>
        <v>0.952643561339953</v>
      </c>
      <c r="Y75" s="4" t="s">
        <v>116</v>
      </c>
      <c r="Z75" s="5" t="n">
        <v>0.51512</v>
      </c>
      <c r="AA75" s="4" t="s">
        <v>114</v>
      </c>
      <c r="AB75" s="4" t="s">
        <v>107</v>
      </c>
      <c r="AC75" s="5" t="n">
        <v>0.09492</v>
      </c>
      <c r="AD75" s="4" t="n">
        <f aca="false">IF(Y75=$E75,1,0)</f>
        <v>0</v>
      </c>
      <c r="AE75" s="4" t="n">
        <f aca="false">IF(OR(Y75=$E75,AA75=$E75,AB75=$E75),1,0)</f>
        <v>1</v>
      </c>
      <c r="AF75" s="4" t="n">
        <v>2</v>
      </c>
      <c r="AG75" s="9" t="n">
        <f aca="false">-LN(MAX(AC75,0.0001))</f>
        <v>2.35472084741457</v>
      </c>
    </row>
    <row r="76" customFormat="false" ht="15" hidden="false" customHeight="false" outlineLevel="0" collapsed="false">
      <c r="A76" s="4" t="n">
        <v>2019</v>
      </c>
      <c r="B76" s="4" t="n">
        <v>13</v>
      </c>
      <c r="C76" s="4" t="s">
        <v>126</v>
      </c>
      <c r="D76" s="4" t="s">
        <v>105</v>
      </c>
      <c r="E76" s="4" t="s">
        <v>139</v>
      </c>
      <c r="F76" s="4" t="n">
        <v>1</v>
      </c>
      <c r="G76" s="4" t="s">
        <v>139</v>
      </c>
      <c r="H76" s="5" t="n">
        <v>0.51912</v>
      </c>
      <c r="I76" s="4" t="s">
        <v>108</v>
      </c>
      <c r="J76" s="4" t="s">
        <v>107</v>
      </c>
      <c r="K76" s="5" t="n">
        <v>0.51912</v>
      </c>
      <c r="L76" s="4" t="n">
        <f aca="false">IF(G76=$E76,1,0)</f>
        <v>1</v>
      </c>
      <c r="M76" s="4" t="n">
        <f aca="false">IF(OR(G76=$E76,I76=$E76,J76=$E76),1,0)</f>
        <v>1</v>
      </c>
      <c r="N76" s="4" t="n">
        <v>2</v>
      </c>
      <c r="O76" s="9" t="n">
        <f aca="false">-LN(MAX(K76,0.0001))</f>
        <v>0.655620208669224</v>
      </c>
      <c r="P76" s="4" t="s">
        <v>107</v>
      </c>
      <c r="Q76" s="5" t="n">
        <v>0.43606</v>
      </c>
      <c r="R76" s="4" t="s">
        <v>116</v>
      </c>
      <c r="S76" s="4" t="s">
        <v>114</v>
      </c>
      <c r="T76" s="5" t="n">
        <v>0.04218</v>
      </c>
      <c r="U76" s="4" t="n">
        <f aca="false">IF(P76=$E76,1,0)</f>
        <v>0</v>
      </c>
      <c r="V76" s="4" t="n">
        <f aca="false">IF(OR(P76=$E76,R76=$E76,S76=$E76),1,0)</f>
        <v>0</v>
      </c>
      <c r="W76" s="4" t="n">
        <v>2</v>
      </c>
      <c r="X76" s="9" t="n">
        <f aca="false">-LN(MAX(T76,0.0001))</f>
        <v>3.16580910393151</v>
      </c>
      <c r="Y76" s="4" t="s">
        <v>139</v>
      </c>
      <c r="Z76" s="5" t="n">
        <v>0.52462</v>
      </c>
      <c r="AA76" s="4" t="s">
        <v>108</v>
      </c>
      <c r="AB76" s="4" t="s">
        <v>107</v>
      </c>
      <c r="AC76" s="5" t="n">
        <v>0.52462</v>
      </c>
      <c r="AD76" s="4" t="n">
        <f aca="false">IF(Y76=$E76,1,0)</f>
        <v>1</v>
      </c>
      <c r="AE76" s="4" t="n">
        <f aca="false">IF(OR(Y76=$E76,AA76=$E76,AB76=$E76),1,0)</f>
        <v>1</v>
      </c>
      <c r="AF76" s="4" t="n">
        <v>2</v>
      </c>
      <c r="AG76" s="9" t="n">
        <f aca="false">-LN(MAX(AC76,0.0001))</f>
        <v>0.645081087990906</v>
      </c>
    </row>
    <row r="77" customFormat="false" ht="15" hidden="false" customHeight="false" outlineLevel="0" collapsed="false">
      <c r="A77" s="4" t="n">
        <v>2019</v>
      </c>
      <c r="B77" s="4" t="n">
        <v>14</v>
      </c>
      <c r="C77" s="4" t="s">
        <v>127</v>
      </c>
      <c r="D77" s="4" t="s">
        <v>105</v>
      </c>
      <c r="E77" s="4" t="s">
        <v>139</v>
      </c>
      <c r="F77" s="4" t="n">
        <v>1</v>
      </c>
      <c r="G77" s="4" t="s">
        <v>139</v>
      </c>
      <c r="H77" s="5" t="n">
        <v>0.49784</v>
      </c>
      <c r="I77" s="4" t="s">
        <v>107</v>
      </c>
      <c r="J77" s="4" t="s">
        <v>108</v>
      </c>
      <c r="K77" s="5" t="n">
        <v>0.49784</v>
      </c>
      <c r="L77" s="4" t="n">
        <f aca="false">IF(G77=$E77,1,0)</f>
        <v>1</v>
      </c>
      <c r="M77" s="4" t="n">
        <f aca="false">IF(OR(G77=$E77,I77=$E77,J77=$E77),1,0)</f>
        <v>1</v>
      </c>
      <c r="N77" s="4" t="n">
        <v>2</v>
      </c>
      <c r="O77" s="9" t="n">
        <f aca="false">-LN(MAX(K77,0.0001))</f>
        <v>0.697476538721175</v>
      </c>
      <c r="P77" s="4" t="s">
        <v>107</v>
      </c>
      <c r="Q77" s="5" t="n">
        <v>0.44022</v>
      </c>
      <c r="R77" s="4" t="s">
        <v>114</v>
      </c>
      <c r="S77" s="4" t="s">
        <v>108</v>
      </c>
      <c r="T77" s="5" t="n">
        <v>0.06582</v>
      </c>
      <c r="U77" s="4" t="n">
        <f aca="false">IF(P77=$E77,1,0)</f>
        <v>0</v>
      </c>
      <c r="V77" s="4" t="n">
        <f aca="false">IF(OR(P77=$E77,R77=$E77,S77=$E77),1,0)</f>
        <v>0</v>
      </c>
      <c r="W77" s="4" t="n">
        <v>2</v>
      </c>
      <c r="X77" s="9" t="n">
        <f aca="false">-LN(MAX(T77,0.0001))</f>
        <v>2.72083153546694</v>
      </c>
      <c r="Y77" s="4" t="s">
        <v>139</v>
      </c>
      <c r="Z77" s="5" t="n">
        <v>0.52008</v>
      </c>
      <c r="AA77" s="4" t="s">
        <v>107</v>
      </c>
      <c r="AB77" s="4" t="s">
        <v>114</v>
      </c>
      <c r="AC77" s="5" t="n">
        <v>0.52008</v>
      </c>
      <c r="AD77" s="4" t="n">
        <f aca="false">IF(Y77=$E77,1,0)</f>
        <v>1</v>
      </c>
      <c r="AE77" s="4" t="n">
        <f aca="false">IF(OR(Y77=$E77,AA77=$E77,AB77=$E77),1,0)</f>
        <v>1</v>
      </c>
      <c r="AF77" s="4" t="n">
        <v>3</v>
      </c>
      <c r="AG77" s="9" t="n">
        <f aca="false">-LN(MAX(AC77,0.0001))</f>
        <v>0.653772633085924</v>
      </c>
    </row>
    <row r="78" customFormat="false" ht="15" hidden="false" customHeight="false" outlineLevel="0" collapsed="false">
      <c r="A78" s="4" t="n">
        <v>2019</v>
      </c>
      <c r="B78" s="4" t="n">
        <v>15</v>
      </c>
      <c r="C78" s="4" t="s">
        <v>128</v>
      </c>
      <c r="D78" s="4" t="s">
        <v>105</v>
      </c>
      <c r="E78" s="4" t="s">
        <v>108</v>
      </c>
      <c r="F78" s="4" t="n">
        <v>3</v>
      </c>
      <c r="G78" s="4" t="s">
        <v>139</v>
      </c>
      <c r="H78" s="5" t="n">
        <v>0.55192</v>
      </c>
      <c r="I78" s="4" t="s">
        <v>107</v>
      </c>
      <c r="J78" s="4" t="s">
        <v>108</v>
      </c>
      <c r="K78" s="5" t="n">
        <v>0.07658</v>
      </c>
      <c r="L78" s="4" t="n">
        <f aca="false">IF(G78=$E78,1,0)</f>
        <v>0</v>
      </c>
      <c r="M78" s="4" t="n">
        <f aca="false">IF(OR(G78=$E78,I78=$E78,J78=$E78),1,0)</f>
        <v>1</v>
      </c>
      <c r="N78" s="4" t="n">
        <v>2</v>
      </c>
      <c r="O78" s="9" t="n">
        <f aca="false">-LN(MAX(K78,0.0001))</f>
        <v>2.56941933293299</v>
      </c>
      <c r="P78" s="4" t="s">
        <v>107</v>
      </c>
      <c r="Q78" s="5" t="n">
        <v>0.44506</v>
      </c>
      <c r="R78" s="4" t="s">
        <v>114</v>
      </c>
      <c r="S78" s="4" t="s">
        <v>116</v>
      </c>
      <c r="T78" s="5" t="n">
        <v>0.09604</v>
      </c>
      <c r="U78" s="4" t="n">
        <f aca="false">IF(P78=$E78,1,0)</f>
        <v>0</v>
      </c>
      <c r="V78" s="4" t="n">
        <f aca="false">IF(OR(P78=$E78,R78=$E78,S78=$E78),1,0)</f>
        <v>0</v>
      </c>
      <c r="W78" s="4" t="n">
        <v>1</v>
      </c>
      <c r="X78" s="9" t="n">
        <f aca="false">-LN(MAX(T78,0.0001))</f>
        <v>2.34299050762908</v>
      </c>
      <c r="Y78" s="4" t="s">
        <v>139</v>
      </c>
      <c r="Z78" s="5" t="n">
        <v>0.52246</v>
      </c>
      <c r="AA78" s="4" t="s">
        <v>107</v>
      </c>
      <c r="AB78" s="4" t="s">
        <v>108</v>
      </c>
      <c r="AC78" s="5" t="n">
        <v>0.08514</v>
      </c>
      <c r="AD78" s="4" t="n">
        <f aca="false">IF(Y78=$E78,1,0)</f>
        <v>0</v>
      </c>
      <c r="AE78" s="4" t="n">
        <f aca="false">IF(OR(Y78=$E78,AA78=$E78,AB78=$E78),1,0)</f>
        <v>1</v>
      </c>
      <c r="AF78" s="4" t="n">
        <v>2</v>
      </c>
      <c r="AG78" s="9" t="n">
        <f aca="false">-LN(MAX(AC78,0.0001))</f>
        <v>2.46345831858213</v>
      </c>
    </row>
    <row r="79" customFormat="false" ht="15" hidden="false" customHeight="false" outlineLevel="0" collapsed="false">
      <c r="A79" s="4" t="n">
        <v>2019</v>
      </c>
      <c r="B79" s="4" t="n">
        <v>16</v>
      </c>
      <c r="C79" s="4" t="s">
        <v>113</v>
      </c>
      <c r="D79" s="4" t="s">
        <v>105</v>
      </c>
      <c r="E79" s="4" t="s">
        <v>107</v>
      </c>
      <c r="F79" s="4" t="n">
        <v>2</v>
      </c>
      <c r="G79" s="4" t="s">
        <v>139</v>
      </c>
      <c r="H79" s="5" t="n">
        <v>0.63414</v>
      </c>
      <c r="I79" s="4" t="s">
        <v>107</v>
      </c>
      <c r="J79" s="4" t="s">
        <v>108</v>
      </c>
      <c r="K79" s="5" t="n">
        <v>0.1582</v>
      </c>
      <c r="L79" s="4" t="n">
        <f aca="false">IF(G79=$E79,1,0)</f>
        <v>0</v>
      </c>
      <c r="M79" s="4" t="n">
        <f aca="false">IF(OR(G79=$E79,I79=$E79,J79=$E79),1,0)</f>
        <v>1</v>
      </c>
      <c r="N79" s="4" t="n">
        <v>2</v>
      </c>
      <c r="O79" s="9" t="n">
        <f aca="false">-LN(MAX(K79,0.0001))</f>
        <v>1.84389522364858</v>
      </c>
      <c r="P79" s="4" t="s">
        <v>107</v>
      </c>
      <c r="Q79" s="5" t="n">
        <v>0.39004</v>
      </c>
      <c r="R79" s="4" t="s">
        <v>114</v>
      </c>
      <c r="S79" s="4" t="s">
        <v>108</v>
      </c>
      <c r="T79" s="5" t="n">
        <v>0.39004</v>
      </c>
      <c r="U79" s="4" t="n">
        <f aca="false">IF(P79=$E79,1,0)</f>
        <v>1</v>
      </c>
      <c r="V79" s="4" t="n">
        <f aca="false">IF(OR(P79=$E79,R79=$E79,S79=$E79),1,0)</f>
        <v>1</v>
      </c>
      <c r="W79" s="4" t="n">
        <v>2</v>
      </c>
      <c r="X79" s="9" t="n">
        <f aca="false">-LN(MAX(T79,0.0001))</f>
        <v>0.941505981015219</v>
      </c>
      <c r="Y79" s="4" t="s">
        <v>139</v>
      </c>
      <c r="Z79" s="5" t="n">
        <v>0.5379</v>
      </c>
      <c r="AA79" s="4" t="s">
        <v>107</v>
      </c>
      <c r="AB79" s="4" t="s">
        <v>108</v>
      </c>
      <c r="AC79" s="5" t="n">
        <v>0.2036</v>
      </c>
      <c r="AD79" s="4" t="n">
        <f aca="false">IF(Y79=$E79,1,0)</f>
        <v>0</v>
      </c>
      <c r="AE79" s="4" t="n">
        <f aca="false">IF(OR(Y79=$E79,AA79=$E79,AB79=$E79),1,0)</f>
        <v>1</v>
      </c>
      <c r="AF79" s="4" t="n">
        <v>2</v>
      </c>
      <c r="AG79" s="9" t="n">
        <f aca="false">-LN(MAX(AC79,0.0001))</f>
        <v>1.59159799430577</v>
      </c>
    </row>
    <row r="80" customFormat="false" ht="15" hidden="false" customHeight="false" outlineLevel="0" collapsed="false">
      <c r="A80" s="4" t="n">
        <v>2019</v>
      </c>
      <c r="B80" s="4" t="n">
        <v>17</v>
      </c>
      <c r="C80" s="4" t="s">
        <v>130</v>
      </c>
      <c r="D80" s="4" t="s">
        <v>105</v>
      </c>
      <c r="E80" s="4" t="s">
        <v>114</v>
      </c>
      <c r="F80" s="4" t="n">
        <v>3</v>
      </c>
      <c r="G80" s="4" t="s">
        <v>139</v>
      </c>
      <c r="H80" s="5" t="n">
        <v>0.38696</v>
      </c>
      <c r="I80" s="4" t="s">
        <v>108</v>
      </c>
      <c r="J80" s="4" t="s">
        <v>114</v>
      </c>
      <c r="K80" s="5" t="n">
        <v>0.14024</v>
      </c>
      <c r="L80" s="4" t="n">
        <f aca="false">IF(G80=$E80,1,0)</f>
        <v>0</v>
      </c>
      <c r="M80" s="4" t="n">
        <f aca="false">IF(OR(G80=$E80,I80=$E80,J80=$E80),1,0)</f>
        <v>1</v>
      </c>
      <c r="N80" s="4" t="n">
        <v>2</v>
      </c>
      <c r="O80" s="9" t="n">
        <f aca="false">-LN(MAX(K80,0.0001))</f>
        <v>1.96440003836916</v>
      </c>
      <c r="P80" s="4" t="s">
        <v>107</v>
      </c>
      <c r="Q80" s="5" t="n">
        <v>0.43814</v>
      </c>
      <c r="R80" s="4" t="s">
        <v>114</v>
      </c>
      <c r="S80" s="4" t="s">
        <v>139</v>
      </c>
      <c r="T80" s="5" t="n">
        <v>0.22042</v>
      </c>
      <c r="U80" s="4" t="n">
        <f aca="false">IF(P80=$E80,1,0)</f>
        <v>0</v>
      </c>
      <c r="V80" s="4" t="n">
        <f aca="false">IF(OR(P80=$E80,R80=$E80,S80=$E80),1,0)</f>
        <v>1</v>
      </c>
      <c r="W80" s="4" t="n">
        <v>2</v>
      </c>
      <c r="X80" s="9" t="n">
        <f aca="false">-LN(MAX(T80,0.0001))</f>
        <v>1.51222046171874</v>
      </c>
      <c r="Y80" s="4" t="s">
        <v>108</v>
      </c>
      <c r="Z80" s="5" t="n">
        <v>0.52266</v>
      </c>
      <c r="AA80" s="4" t="s">
        <v>139</v>
      </c>
      <c r="AB80" s="4" t="s">
        <v>114</v>
      </c>
      <c r="AC80" s="5" t="n">
        <v>0.09434</v>
      </c>
      <c r="AD80" s="4" t="n">
        <f aca="false">IF(Y80=$E80,1,0)</f>
        <v>0</v>
      </c>
      <c r="AE80" s="4" t="n">
        <f aca="false">IF(OR(Y80=$E80,AA80=$E80,AB80=$E80),1,0)</f>
        <v>1</v>
      </c>
      <c r="AF80" s="4" t="n">
        <v>2</v>
      </c>
      <c r="AG80" s="9" t="n">
        <f aca="false">-LN(MAX(AC80,0.0001))</f>
        <v>2.36085000112602</v>
      </c>
    </row>
    <row r="81" customFormat="false" ht="15" hidden="false" customHeight="false" outlineLevel="0" collapsed="false">
      <c r="A81" s="4" t="n">
        <v>2019</v>
      </c>
      <c r="B81" s="4" t="n">
        <v>18</v>
      </c>
      <c r="C81" s="4" t="s">
        <v>132</v>
      </c>
      <c r="D81" s="4" t="s">
        <v>105</v>
      </c>
      <c r="E81" s="4" t="s">
        <v>107</v>
      </c>
      <c r="F81" s="4" t="n">
        <v>3</v>
      </c>
      <c r="G81" s="4" t="s">
        <v>139</v>
      </c>
      <c r="H81" s="5" t="n">
        <v>0.49366</v>
      </c>
      <c r="I81" s="4" t="s">
        <v>107</v>
      </c>
      <c r="J81" s="4" t="s">
        <v>108</v>
      </c>
      <c r="K81" s="5" t="n">
        <v>0.16738</v>
      </c>
      <c r="L81" s="4" t="n">
        <f aca="false">IF(G81=$E81,1,0)</f>
        <v>0</v>
      </c>
      <c r="M81" s="4" t="n">
        <f aca="false">IF(OR(G81=$E81,I81=$E81,J81=$E81),1,0)</f>
        <v>1</v>
      </c>
      <c r="N81" s="4" t="n">
        <v>2</v>
      </c>
      <c r="O81" s="9" t="n">
        <f aca="false">-LN(MAX(K81,0.0001))</f>
        <v>1.78748860237741</v>
      </c>
      <c r="P81" s="4" t="s">
        <v>107</v>
      </c>
      <c r="Q81" s="5" t="n">
        <v>0.42436</v>
      </c>
      <c r="R81" s="4" t="s">
        <v>114</v>
      </c>
      <c r="S81" s="4" t="s">
        <v>108</v>
      </c>
      <c r="T81" s="5" t="n">
        <v>0.42436</v>
      </c>
      <c r="U81" s="4" t="n">
        <f aca="false">IF(P81=$E81,1,0)</f>
        <v>1</v>
      </c>
      <c r="V81" s="4" t="n">
        <f aca="false">IF(OR(P81=$E81,R81=$E81,S81=$E81),1,0)</f>
        <v>1</v>
      </c>
      <c r="W81" s="4" t="n">
        <v>3</v>
      </c>
      <c r="X81" s="9" t="n">
        <f aca="false">-LN(MAX(T81,0.0001))</f>
        <v>0.857173127391066</v>
      </c>
      <c r="Y81" s="4" t="s">
        <v>139</v>
      </c>
      <c r="Z81" s="5" t="n">
        <v>0.52262</v>
      </c>
      <c r="AA81" s="4" t="s">
        <v>108</v>
      </c>
      <c r="AB81" s="4" t="s">
        <v>107</v>
      </c>
      <c r="AC81" s="5" t="n">
        <v>0.09436</v>
      </c>
      <c r="AD81" s="4" t="n">
        <f aca="false">IF(Y81=$E81,1,0)</f>
        <v>0</v>
      </c>
      <c r="AE81" s="4" t="n">
        <f aca="false">IF(OR(Y81=$E81,AA81=$E81,AB81=$E81),1,0)</f>
        <v>1</v>
      </c>
      <c r="AF81" s="4" t="n">
        <v>2</v>
      </c>
      <c r="AG81" s="9" t="n">
        <f aca="false">-LN(MAX(AC81,0.0001))</f>
        <v>2.36063802444266</v>
      </c>
    </row>
    <row r="82" customFormat="false" ht="15" hidden="false" customHeight="false" outlineLevel="0" collapsed="false">
      <c r="A82" s="4" t="n">
        <v>2019</v>
      </c>
      <c r="B82" s="4" t="n">
        <v>19</v>
      </c>
      <c r="C82" s="4" t="s">
        <v>131</v>
      </c>
      <c r="D82" s="4" t="s">
        <v>105</v>
      </c>
      <c r="E82" s="4" t="s">
        <v>114</v>
      </c>
      <c r="F82" s="4" t="n">
        <v>1</v>
      </c>
      <c r="G82" s="4" t="s">
        <v>114</v>
      </c>
      <c r="H82" s="5" t="n">
        <v>0.53526</v>
      </c>
      <c r="I82" s="4" t="s">
        <v>108</v>
      </c>
      <c r="J82" s="4" t="s">
        <v>107</v>
      </c>
      <c r="K82" s="5" t="n">
        <v>0.53526</v>
      </c>
      <c r="L82" s="4" t="n">
        <f aca="false">IF(G82=$E82,1,0)</f>
        <v>1</v>
      </c>
      <c r="M82" s="4" t="n">
        <f aca="false">IF(OR(G82=$E82,I82=$E82,J82=$E82),1,0)</f>
        <v>1</v>
      </c>
      <c r="N82" s="4" t="n">
        <v>2</v>
      </c>
      <c r="O82" s="9" t="n">
        <f aca="false">-LN(MAX(K82,0.0001))</f>
        <v>0.62500266882839</v>
      </c>
      <c r="P82" s="4" t="s">
        <v>107</v>
      </c>
      <c r="Q82" s="5" t="n">
        <v>0.4365</v>
      </c>
      <c r="R82" s="4" t="s">
        <v>114</v>
      </c>
      <c r="S82" s="4" t="s">
        <v>108</v>
      </c>
      <c r="T82" s="5" t="n">
        <v>0.24754</v>
      </c>
      <c r="U82" s="4" t="n">
        <f aca="false">IF(P82=$E82,1,0)</f>
        <v>0</v>
      </c>
      <c r="V82" s="4" t="n">
        <f aca="false">IF(OR(P82=$E82,R82=$E82,S82=$E82),1,0)</f>
        <v>1</v>
      </c>
      <c r="W82" s="4" t="n">
        <v>2</v>
      </c>
      <c r="X82" s="9" t="n">
        <f aca="false">-LN(MAX(T82,0.0001))</f>
        <v>1.39618309387026</v>
      </c>
      <c r="Y82" s="4" t="s">
        <v>114</v>
      </c>
      <c r="Z82" s="5" t="n">
        <v>0.55682</v>
      </c>
      <c r="AA82" s="4" t="s">
        <v>108</v>
      </c>
      <c r="AB82" s="4" t="s">
        <v>116</v>
      </c>
      <c r="AC82" s="5" t="n">
        <v>0.55682</v>
      </c>
      <c r="AD82" s="4" t="n">
        <f aca="false">IF(Y82=$E82,1,0)</f>
        <v>1</v>
      </c>
      <c r="AE82" s="4" t="n">
        <f aca="false">IF(OR(Y82=$E82,AA82=$E82,AB82=$E82),1,0)</f>
        <v>1</v>
      </c>
      <c r="AF82" s="4" t="n">
        <v>2</v>
      </c>
      <c r="AG82" s="9" t="n">
        <f aca="false">-LN(MAX(AC82,0.0001))</f>
        <v>0.585513251066789</v>
      </c>
    </row>
    <row r="83" customFormat="false" ht="15" hidden="false" customHeight="false" outlineLevel="0" collapsed="false">
      <c r="A83" s="4" t="n">
        <v>2019</v>
      </c>
      <c r="B83" s="4" t="n">
        <v>20</v>
      </c>
      <c r="C83" s="4" t="s">
        <v>133</v>
      </c>
      <c r="D83" s="4" t="s">
        <v>105</v>
      </c>
      <c r="E83" s="4" t="s">
        <v>116</v>
      </c>
      <c r="F83" s="4" t="n">
        <v>1</v>
      </c>
      <c r="G83" s="4" t="s">
        <v>116</v>
      </c>
      <c r="H83" s="5" t="n">
        <v>0.35028</v>
      </c>
      <c r="I83" s="4" t="s">
        <v>107</v>
      </c>
      <c r="J83" s="4" t="s">
        <v>114</v>
      </c>
      <c r="K83" s="5" t="n">
        <v>0.35028</v>
      </c>
      <c r="L83" s="4" t="n">
        <f aca="false">IF(G83=$E83,1,0)</f>
        <v>1</v>
      </c>
      <c r="M83" s="4" t="n">
        <f aca="false">IF(OR(G83=$E83,I83=$E83,J83=$E83),1,0)</f>
        <v>1</v>
      </c>
      <c r="N83" s="4" t="n">
        <v>1</v>
      </c>
      <c r="O83" s="9" t="n">
        <f aca="false">-LN(MAX(K83,0.0001))</f>
        <v>1.04902244432811</v>
      </c>
      <c r="P83" s="4" t="s">
        <v>107</v>
      </c>
      <c r="Q83" s="5" t="n">
        <v>0.4358</v>
      </c>
      <c r="R83" s="4" t="s">
        <v>114</v>
      </c>
      <c r="S83" s="4" t="s">
        <v>139</v>
      </c>
      <c r="T83" s="5" t="n">
        <v>0.0863</v>
      </c>
      <c r="U83" s="4" t="n">
        <f aca="false">IF(P83=$E83,1,0)</f>
        <v>0</v>
      </c>
      <c r="V83" s="4" t="n">
        <f aca="false">IF(OR(P83=$E83,R83=$E83,S83=$E83),1,0)</f>
        <v>0</v>
      </c>
      <c r="W83" s="4" t="n">
        <v>1</v>
      </c>
      <c r="X83" s="9" t="n">
        <f aca="false">-LN(MAX(T83,0.0001))</f>
        <v>2.44992568089276</v>
      </c>
      <c r="Y83" s="4" t="s">
        <v>116</v>
      </c>
      <c r="Z83" s="5" t="n">
        <v>0.54324</v>
      </c>
      <c r="AA83" s="4" t="s">
        <v>108</v>
      </c>
      <c r="AB83" s="4" t="s">
        <v>107</v>
      </c>
      <c r="AC83" s="5" t="n">
        <v>0.54324</v>
      </c>
      <c r="AD83" s="4" t="n">
        <f aca="false">IF(Y83=$E83,1,0)</f>
        <v>1</v>
      </c>
      <c r="AE83" s="4" t="n">
        <f aca="false">IF(OR(Y83=$E83,AA83=$E83,AB83=$E83),1,0)</f>
        <v>1</v>
      </c>
      <c r="AF83" s="4" t="n">
        <v>1</v>
      </c>
      <c r="AG83" s="9" t="n">
        <f aca="false">-LN(MAX(AC83,0.0001))</f>
        <v>0.61020406774627</v>
      </c>
    </row>
    <row r="84" customFormat="false" ht="15" hidden="false" customHeight="false" outlineLevel="0" collapsed="false">
      <c r="A84" s="4" t="n">
        <v>2019</v>
      </c>
      <c r="B84" s="4" t="n">
        <v>21</v>
      </c>
      <c r="C84" s="4" t="s">
        <v>134</v>
      </c>
      <c r="D84" s="4" t="s">
        <v>105</v>
      </c>
      <c r="E84" s="4" t="s">
        <v>107</v>
      </c>
      <c r="F84" s="4" t="n">
        <v>1</v>
      </c>
      <c r="G84" s="4" t="s">
        <v>107</v>
      </c>
      <c r="H84" s="5" t="n">
        <v>0.63216</v>
      </c>
      <c r="I84" s="4" t="s">
        <v>116</v>
      </c>
      <c r="J84" s="4" t="s">
        <v>139</v>
      </c>
      <c r="K84" s="5" t="n">
        <v>0.63216</v>
      </c>
      <c r="L84" s="4" t="n">
        <f aca="false">IF(G84=$E84,1,0)</f>
        <v>1</v>
      </c>
      <c r="M84" s="4" t="n">
        <f aca="false">IF(OR(G84=$E84,I84=$E84,J84=$E84),1,0)</f>
        <v>1</v>
      </c>
      <c r="N84" s="4" t="n">
        <v>3</v>
      </c>
      <c r="O84" s="9" t="n">
        <f aca="false">-LN(MAX(K84,0.0001))</f>
        <v>0.458612752319056</v>
      </c>
      <c r="P84" s="4" t="s">
        <v>107</v>
      </c>
      <c r="Q84" s="5" t="n">
        <v>0.4524</v>
      </c>
      <c r="R84" s="4" t="s">
        <v>114</v>
      </c>
      <c r="S84" s="4" t="s">
        <v>116</v>
      </c>
      <c r="T84" s="5" t="n">
        <v>0.4524</v>
      </c>
      <c r="U84" s="4" t="n">
        <f aca="false">IF(P84=$E84,1,0)</f>
        <v>1</v>
      </c>
      <c r="V84" s="4" t="n">
        <f aca="false">IF(OR(P84=$E84,R84=$E84,S84=$E84),1,0)</f>
        <v>1</v>
      </c>
      <c r="W84" s="4" t="n">
        <v>2</v>
      </c>
      <c r="X84" s="9" t="n">
        <f aca="false">-LN(MAX(T84,0.0001))</f>
        <v>0.793188534740172</v>
      </c>
      <c r="Y84" s="4" t="s">
        <v>107</v>
      </c>
      <c r="Z84" s="5" t="n">
        <v>0.53754</v>
      </c>
      <c r="AA84" s="4" t="s">
        <v>116</v>
      </c>
      <c r="AB84" s="4" t="s">
        <v>139</v>
      </c>
      <c r="AC84" s="5" t="n">
        <v>0.53754</v>
      </c>
      <c r="AD84" s="4" t="n">
        <f aca="false">IF(Y84=$E84,1,0)</f>
        <v>1</v>
      </c>
      <c r="AE84" s="4" t="n">
        <f aca="false">IF(OR(Y84=$E84,AA84=$E84,AB84=$E84),1,0)</f>
        <v>1</v>
      </c>
      <c r="AF84" s="4" t="n">
        <v>3</v>
      </c>
      <c r="AG84" s="9" t="n">
        <f aca="false">-LN(MAX(AC84,0.0001))</f>
        <v>0.620752103144595</v>
      </c>
    </row>
    <row r="85" customFormat="false" ht="15" hidden="false" customHeight="false" outlineLevel="0" collapsed="false">
      <c r="A85" s="4" t="n">
        <v>2020</v>
      </c>
      <c r="B85" s="4" t="n">
        <v>1</v>
      </c>
      <c r="C85" s="4" t="s">
        <v>120</v>
      </c>
      <c r="D85" s="4" t="s">
        <v>105</v>
      </c>
      <c r="E85" s="4" t="s">
        <v>114</v>
      </c>
      <c r="F85" s="4" t="n">
        <v>1</v>
      </c>
      <c r="G85" s="4" t="s">
        <v>114</v>
      </c>
      <c r="H85" s="5" t="n">
        <v>0.47692</v>
      </c>
      <c r="I85" s="4" t="s">
        <v>116</v>
      </c>
      <c r="J85" s="4" t="s">
        <v>107</v>
      </c>
      <c r="K85" s="5" t="n">
        <v>0.47692</v>
      </c>
      <c r="L85" s="4" t="n">
        <f aca="false">IF(G85=$E85,1,0)</f>
        <v>1</v>
      </c>
      <c r="M85" s="4" t="n">
        <f aca="false">IF(OR(G85=$E85,I85=$E85,J85=$E85),1,0)</f>
        <v>1</v>
      </c>
      <c r="N85" s="4" t="n">
        <v>1</v>
      </c>
      <c r="O85" s="9" t="n">
        <f aca="false">-LN(MAX(K85,0.0001))</f>
        <v>0.740406517044206</v>
      </c>
      <c r="P85" s="4" t="s">
        <v>107</v>
      </c>
      <c r="Q85" s="5" t="n">
        <v>0.31048</v>
      </c>
      <c r="R85" s="4" t="s">
        <v>114</v>
      </c>
      <c r="S85" s="4" t="s">
        <v>116</v>
      </c>
      <c r="T85" s="5" t="n">
        <v>0.21404</v>
      </c>
      <c r="U85" s="4" t="n">
        <f aca="false">IF(P85=$E85,1,0)</f>
        <v>0</v>
      </c>
      <c r="V85" s="4" t="n">
        <f aca="false">IF(OR(P85=$E85,R85=$E85,S85=$E85),1,0)</f>
        <v>1</v>
      </c>
      <c r="W85" s="4" t="n">
        <v>1</v>
      </c>
      <c r="X85" s="9" t="n">
        <f aca="false">-LN(MAX(T85,0.0001))</f>
        <v>1.54159236553903</v>
      </c>
      <c r="Y85" s="4" t="s">
        <v>114</v>
      </c>
      <c r="Z85" s="5" t="n">
        <v>0.5408</v>
      </c>
      <c r="AA85" s="4" t="s">
        <v>116</v>
      </c>
      <c r="AB85" s="4" t="s">
        <v>140</v>
      </c>
      <c r="AC85" s="5" t="n">
        <v>0.5408</v>
      </c>
      <c r="AD85" s="4" t="n">
        <f aca="false">IF(Y85=$E85,1,0)</f>
        <v>1</v>
      </c>
      <c r="AE85" s="4" t="n">
        <f aca="false">IF(OR(Y85=$E85,AA85=$E85,AB85=$E85),1,0)</f>
        <v>1</v>
      </c>
      <c r="AF85" s="4" t="n">
        <v>2</v>
      </c>
      <c r="AG85" s="9" t="n">
        <f aca="false">-LN(MAX(AC85,0.0001))</f>
        <v>0.614705754253383</v>
      </c>
    </row>
    <row r="86" customFormat="false" ht="15" hidden="false" customHeight="false" outlineLevel="0" collapsed="false">
      <c r="A86" s="4" t="n">
        <v>2020</v>
      </c>
      <c r="B86" s="4" t="n">
        <v>2</v>
      </c>
      <c r="C86" s="4" t="s">
        <v>141</v>
      </c>
      <c r="D86" s="4" t="s">
        <v>105</v>
      </c>
      <c r="E86" s="4" t="s">
        <v>107</v>
      </c>
      <c r="F86" s="4" t="n">
        <v>1</v>
      </c>
      <c r="G86" s="4" t="s">
        <v>107</v>
      </c>
      <c r="H86" s="5" t="n">
        <v>0.68686</v>
      </c>
      <c r="I86" s="4" t="s">
        <v>114</v>
      </c>
      <c r="J86" s="4" t="s">
        <v>142</v>
      </c>
      <c r="K86" s="5" t="n">
        <v>0.68686</v>
      </c>
      <c r="L86" s="4" t="n">
        <f aca="false">IF(G86=$E86,1,0)</f>
        <v>1</v>
      </c>
      <c r="M86" s="4" t="n">
        <f aca="false">IF(OR(G86=$E86,I86=$E86,J86=$E86),1,0)</f>
        <v>1</v>
      </c>
      <c r="N86" s="4" t="n">
        <v>2</v>
      </c>
      <c r="O86" s="9" t="n">
        <f aca="false">-LN(MAX(K86,0.0001))</f>
        <v>0.375624792097281</v>
      </c>
      <c r="P86" s="4" t="s">
        <v>114</v>
      </c>
      <c r="Q86" s="5" t="n">
        <v>0.39098</v>
      </c>
      <c r="R86" s="4" t="s">
        <v>107</v>
      </c>
      <c r="S86" s="4" t="s">
        <v>139</v>
      </c>
      <c r="T86" s="5" t="n">
        <v>0.38334</v>
      </c>
      <c r="U86" s="4" t="n">
        <f aca="false">IF(P86=$E86,1,0)</f>
        <v>0</v>
      </c>
      <c r="V86" s="4" t="n">
        <f aca="false">IF(OR(P86=$E86,R86=$E86,S86=$E86),1,0)</f>
        <v>1</v>
      </c>
      <c r="W86" s="4" t="n">
        <v>2</v>
      </c>
      <c r="X86" s="9" t="n">
        <f aca="false">-LN(MAX(T86,0.0001))</f>
        <v>0.95883295513983</v>
      </c>
      <c r="Y86" s="4" t="s">
        <v>107</v>
      </c>
      <c r="Z86" s="5" t="n">
        <v>0.5414</v>
      </c>
      <c r="AA86" s="4" t="s">
        <v>116</v>
      </c>
      <c r="AB86" s="4" t="s">
        <v>142</v>
      </c>
      <c r="AC86" s="5" t="n">
        <v>0.5414</v>
      </c>
      <c r="AD86" s="4" t="n">
        <f aca="false">IF(Y86=$E86,1,0)</f>
        <v>1</v>
      </c>
      <c r="AE86" s="4" t="n">
        <f aca="false">IF(OR(Y86=$E86,AA86=$E86,AB86=$E86),1,0)</f>
        <v>1</v>
      </c>
      <c r="AF86" s="4" t="n">
        <v>2</v>
      </c>
      <c r="AG86" s="9" t="n">
        <f aca="false">-LN(MAX(AC86,0.0001))</f>
        <v>0.613596901801936</v>
      </c>
    </row>
    <row r="87" customFormat="false" ht="15" hidden="false" customHeight="false" outlineLevel="0" collapsed="false">
      <c r="A87" s="4" t="n">
        <v>2020</v>
      </c>
      <c r="B87" s="4" t="n">
        <v>3</v>
      </c>
      <c r="C87" s="4" t="s">
        <v>124</v>
      </c>
      <c r="D87" s="4" t="s">
        <v>105</v>
      </c>
      <c r="E87" s="4" t="s">
        <v>107</v>
      </c>
      <c r="F87" s="4" t="n">
        <v>1</v>
      </c>
      <c r="G87" s="4" t="s">
        <v>107</v>
      </c>
      <c r="H87" s="5" t="n">
        <v>0.61554</v>
      </c>
      <c r="I87" s="4" t="s">
        <v>114</v>
      </c>
      <c r="J87" s="4" t="s">
        <v>143</v>
      </c>
      <c r="K87" s="5" t="n">
        <v>0.61554</v>
      </c>
      <c r="L87" s="4" t="n">
        <f aca="false">IF(G87=$E87,1,0)</f>
        <v>1</v>
      </c>
      <c r="M87" s="4" t="n">
        <f aca="false">IF(OR(G87=$E87,I87=$E87,J87=$E87),1,0)</f>
        <v>1</v>
      </c>
      <c r="N87" s="4" t="n">
        <v>2</v>
      </c>
      <c r="O87" s="9" t="n">
        <f aca="false">-LN(MAX(K87,0.0001))</f>
        <v>0.485255347654461</v>
      </c>
      <c r="P87" s="4" t="s">
        <v>107</v>
      </c>
      <c r="Q87" s="5" t="n">
        <v>0.41694</v>
      </c>
      <c r="R87" s="4" t="s">
        <v>114</v>
      </c>
      <c r="S87" s="4" t="s">
        <v>116</v>
      </c>
      <c r="T87" s="5" t="n">
        <v>0.41694</v>
      </c>
      <c r="U87" s="4" t="n">
        <f aca="false">IF(P87=$E87,1,0)</f>
        <v>1</v>
      </c>
      <c r="V87" s="4" t="n">
        <f aca="false">IF(OR(P87=$E87,R87=$E87,S87=$E87),1,0)</f>
        <v>1</v>
      </c>
      <c r="W87" s="4" t="n">
        <v>3</v>
      </c>
      <c r="X87" s="9" t="n">
        <f aca="false">-LN(MAX(T87,0.0001))</f>
        <v>0.874812952427846</v>
      </c>
      <c r="Y87" s="4" t="s">
        <v>107</v>
      </c>
      <c r="Z87" s="5" t="n">
        <v>0.53906</v>
      </c>
      <c r="AA87" s="4" t="s">
        <v>114</v>
      </c>
      <c r="AB87" s="4" t="s">
        <v>136</v>
      </c>
      <c r="AC87" s="5" t="n">
        <v>0.53906</v>
      </c>
      <c r="AD87" s="4" t="n">
        <f aca="false">IF(Y87=$E87,1,0)</f>
        <v>1</v>
      </c>
      <c r="AE87" s="4" t="n">
        <f aca="false">IF(OR(Y87=$E87,AA87=$E87,AB87=$E87),1,0)</f>
        <v>1</v>
      </c>
      <c r="AF87" s="4" t="n">
        <v>2</v>
      </c>
      <c r="AG87" s="9" t="n">
        <f aca="false">-LN(MAX(AC87,0.0001))</f>
        <v>0.617928397014271</v>
      </c>
    </row>
    <row r="88" customFormat="false" ht="15" hidden="false" customHeight="false" outlineLevel="0" collapsed="false">
      <c r="A88" s="4" t="n">
        <v>2020</v>
      </c>
      <c r="B88" s="4" t="n">
        <v>4</v>
      </c>
      <c r="C88" s="4" t="s">
        <v>123</v>
      </c>
      <c r="D88" s="4" t="s">
        <v>105</v>
      </c>
      <c r="E88" s="4" t="s">
        <v>107</v>
      </c>
      <c r="F88" s="4" t="n">
        <v>1</v>
      </c>
      <c r="G88" s="4" t="s">
        <v>107</v>
      </c>
      <c r="H88" s="5" t="n">
        <v>0.67614</v>
      </c>
      <c r="I88" s="4" t="s">
        <v>114</v>
      </c>
      <c r="J88" s="4" t="s">
        <v>116</v>
      </c>
      <c r="K88" s="5" t="n">
        <v>0.67614</v>
      </c>
      <c r="L88" s="4" t="n">
        <f aca="false">IF(G88=$E88,1,0)</f>
        <v>1</v>
      </c>
      <c r="M88" s="4" t="n">
        <f aca="false">IF(OR(G88=$E88,I88=$E88,J88=$E88),1,0)</f>
        <v>1</v>
      </c>
      <c r="N88" s="4" t="n">
        <v>2</v>
      </c>
      <c r="O88" s="9" t="n">
        <f aca="false">-LN(MAX(K88,0.0001))</f>
        <v>0.391355123789824</v>
      </c>
      <c r="P88" s="4" t="s">
        <v>107</v>
      </c>
      <c r="Q88" s="5" t="n">
        <v>0.46422</v>
      </c>
      <c r="R88" s="4" t="s">
        <v>114</v>
      </c>
      <c r="S88" s="4" t="s">
        <v>116</v>
      </c>
      <c r="T88" s="5" t="n">
        <v>0.46422</v>
      </c>
      <c r="U88" s="4" t="n">
        <f aca="false">IF(P88=$E88,1,0)</f>
        <v>1</v>
      </c>
      <c r="V88" s="4" t="n">
        <f aca="false">IF(OR(P88=$E88,R88=$E88,S88=$E88),1,0)</f>
        <v>1</v>
      </c>
      <c r="W88" s="4" t="n">
        <v>2</v>
      </c>
      <c r="X88" s="9" t="n">
        <f aca="false">-LN(MAX(T88,0.0001))</f>
        <v>0.767396701192719</v>
      </c>
      <c r="Y88" s="4" t="s">
        <v>107</v>
      </c>
      <c r="Z88" s="5" t="n">
        <v>0.53896</v>
      </c>
      <c r="AA88" s="4" t="s">
        <v>114</v>
      </c>
      <c r="AB88" s="4" t="s">
        <v>116</v>
      </c>
      <c r="AC88" s="5" t="n">
        <v>0.53896</v>
      </c>
      <c r="AD88" s="4" t="n">
        <f aca="false">IF(Y88=$E88,1,0)</f>
        <v>1</v>
      </c>
      <c r="AE88" s="4" t="n">
        <f aca="false">IF(OR(Y88=$E88,AA88=$E88,AB88=$E88),1,0)</f>
        <v>1</v>
      </c>
      <c r="AF88" s="4" t="n">
        <v>2</v>
      </c>
      <c r="AG88" s="9" t="n">
        <f aca="false">-LN(MAX(AC88,0.0001))</f>
        <v>0.618113922329733</v>
      </c>
    </row>
    <row r="89" customFormat="false" ht="15" hidden="false" customHeight="false" outlineLevel="0" collapsed="false">
      <c r="A89" s="4" t="n">
        <v>2020</v>
      </c>
      <c r="B89" s="4" t="n">
        <v>5</v>
      </c>
      <c r="C89" s="4" t="s">
        <v>144</v>
      </c>
      <c r="D89" s="4" t="s">
        <v>105</v>
      </c>
      <c r="E89" s="4" t="s">
        <v>116</v>
      </c>
      <c r="F89" s="4" t="n">
        <v>4</v>
      </c>
      <c r="G89" s="4" t="s">
        <v>107</v>
      </c>
      <c r="H89" s="5" t="n">
        <v>0.4609</v>
      </c>
      <c r="I89" s="4" t="s">
        <v>114</v>
      </c>
      <c r="J89" s="4" t="s">
        <v>116</v>
      </c>
      <c r="K89" s="5" t="n">
        <v>0.03672</v>
      </c>
      <c r="L89" s="4" t="n">
        <f aca="false">IF(G89=$E89,1,0)</f>
        <v>0</v>
      </c>
      <c r="M89" s="4" t="n">
        <f aca="false">IF(OR(G89=$E89,I89=$E89,J89=$E89),1,0)</f>
        <v>1</v>
      </c>
      <c r="N89" s="4" t="n">
        <v>3</v>
      </c>
      <c r="O89" s="9" t="n">
        <f aca="false">-LN(MAX(K89,0.0001))</f>
        <v>3.30443371322985</v>
      </c>
      <c r="P89" s="4" t="s">
        <v>107</v>
      </c>
      <c r="Q89" s="5" t="n">
        <v>0.55888</v>
      </c>
      <c r="R89" s="4" t="s">
        <v>114</v>
      </c>
      <c r="S89" s="4" t="s">
        <v>116</v>
      </c>
      <c r="T89" s="5" t="n">
        <v>0.11238</v>
      </c>
      <c r="U89" s="4" t="n">
        <f aca="false">IF(P89=$E89,1,0)</f>
        <v>0</v>
      </c>
      <c r="V89" s="4" t="n">
        <f aca="false">IF(OR(P89=$E89,R89=$E89,S89=$E89),1,0)</f>
        <v>1</v>
      </c>
      <c r="W89" s="4" t="n">
        <v>3</v>
      </c>
      <c r="X89" s="9" t="n">
        <f aca="false">-LN(MAX(T89,0.0001))</f>
        <v>2.18586929329808</v>
      </c>
      <c r="Y89" s="4" t="s">
        <v>114</v>
      </c>
      <c r="Z89" s="5" t="n">
        <v>0.5442</v>
      </c>
      <c r="AA89" s="4" t="s">
        <v>107</v>
      </c>
      <c r="AB89" s="4" t="s">
        <v>121</v>
      </c>
      <c r="AC89" s="5" t="n">
        <v>0.04878</v>
      </c>
      <c r="AD89" s="4" t="n">
        <f aca="false">IF(Y89=$E89,1,0)</f>
        <v>0</v>
      </c>
      <c r="AE89" s="4" t="n">
        <f aca="false">IF(OR(Y89=$E89,AA89=$E89,AB89=$E89),1,0)</f>
        <v>0</v>
      </c>
      <c r="AF89" s="4" t="n">
        <v>2</v>
      </c>
      <c r="AG89" s="9" t="n">
        <f aca="false">-LN(MAX(AC89,0.0001))</f>
        <v>3.02043488619436</v>
      </c>
    </row>
    <row r="90" customFormat="false" ht="15" hidden="false" customHeight="false" outlineLevel="0" collapsed="false">
      <c r="A90" s="4" t="n">
        <v>2020</v>
      </c>
      <c r="B90" s="4" t="n">
        <v>6</v>
      </c>
      <c r="C90" s="4" t="s">
        <v>115</v>
      </c>
      <c r="D90" s="4" t="s">
        <v>105</v>
      </c>
      <c r="E90" s="4" t="s">
        <v>107</v>
      </c>
      <c r="F90" s="4" t="n">
        <v>1</v>
      </c>
      <c r="G90" s="4" t="s">
        <v>107</v>
      </c>
      <c r="H90" s="5" t="n">
        <v>0.6894</v>
      </c>
      <c r="I90" s="4" t="s">
        <v>114</v>
      </c>
      <c r="J90" s="4" t="s">
        <v>116</v>
      </c>
      <c r="K90" s="5" t="n">
        <v>0.6894</v>
      </c>
      <c r="L90" s="4" t="n">
        <f aca="false">IF(G90=$E90,1,0)</f>
        <v>1</v>
      </c>
      <c r="M90" s="4" t="n">
        <f aca="false">IF(OR(G90=$E90,I90=$E90,J90=$E90),1,0)</f>
        <v>1</v>
      </c>
      <c r="N90" s="4" t="n">
        <v>3</v>
      </c>
      <c r="O90" s="9" t="n">
        <f aca="false">-LN(MAX(K90,0.0001))</f>
        <v>0.371933624899372</v>
      </c>
      <c r="P90" s="4" t="s">
        <v>107</v>
      </c>
      <c r="Q90" s="5" t="n">
        <v>0.52892</v>
      </c>
      <c r="R90" s="4" t="s">
        <v>114</v>
      </c>
      <c r="S90" s="4" t="s">
        <v>116</v>
      </c>
      <c r="T90" s="5" t="n">
        <v>0.52892</v>
      </c>
      <c r="U90" s="4" t="n">
        <f aca="false">IF(P90=$E90,1,0)</f>
        <v>1</v>
      </c>
      <c r="V90" s="4" t="n">
        <f aca="false">IF(OR(P90=$E90,R90=$E90,S90=$E90),1,0)</f>
        <v>1</v>
      </c>
      <c r="W90" s="4" t="n">
        <v>3</v>
      </c>
      <c r="X90" s="9" t="n">
        <f aca="false">-LN(MAX(T90,0.0001))</f>
        <v>0.636918087293515</v>
      </c>
      <c r="Y90" s="4" t="s">
        <v>107</v>
      </c>
      <c r="Z90" s="5" t="n">
        <v>0.55204</v>
      </c>
      <c r="AA90" s="4" t="s">
        <v>114</v>
      </c>
      <c r="AB90" s="4" t="s">
        <v>116</v>
      </c>
      <c r="AC90" s="5" t="n">
        <v>0.55204</v>
      </c>
      <c r="AD90" s="4" t="n">
        <f aca="false">IF(Y90=$E90,1,0)</f>
        <v>1</v>
      </c>
      <c r="AE90" s="4" t="n">
        <f aca="false">IF(OR(Y90=$E90,AA90=$E90,AB90=$E90),1,0)</f>
        <v>1</v>
      </c>
      <c r="AF90" s="4" t="n">
        <v>3</v>
      </c>
      <c r="AG90" s="9" t="n">
        <f aca="false">-LN(MAX(AC90,0.0001))</f>
        <v>0.594134771562298</v>
      </c>
    </row>
    <row r="91" customFormat="false" ht="15" hidden="false" customHeight="false" outlineLevel="0" collapsed="false">
      <c r="A91" s="4" t="n">
        <v>2020</v>
      </c>
      <c r="B91" s="4" t="n">
        <v>7</v>
      </c>
      <c r="C91" s="4" t="s">
        <v>126</v>
      </c>
      <c r="D91" s="4" t="s">
        <v>105</v>
      </c>
      <c r="E91" s="4" t="s">
        <v>107</v>
      </c>
      <c r="F91" s="4" t="n">
        <v>1</v>
      </c>
      <c r="G91" s="4" t="s">
        <v>107</v>
      </c>
      <c r="H91" s="5" t="n">
        <v>0.69666</v>
      </c>
      <c r="I91" s="4" t="s">
        <v>114</v>
      </c>
      <c r="J91" s="4" t="s">
        <v>116</v>
      </c>
      <c r="K91" s="5" t="n">
        <v>0.69666</v>
      </c>
      <c r="L91" s="4" t="n">
        <f aca="false">IF(G91=$E91,1,0)</f>
        <v>1</v>
      </c>
      <c r="M91" s="4" t="n">
        <f aca="false">IF(OR(G91=$E91,I91=$E91,J91=$E91),1,0)</f>
        <v>1</v>
      </c>
      <c r="N91" s="4" t="n">
        <v>3</v>
      </c>
      <c r="O91" s="9" t="n">
        <f aca="false">-LN(MAX(K91,0.0001))</f>
        <v>0.361457792115167</v>
      </c>
      <c r="P91" s="4" t="s">
        <v>107</v>
      </c>
      <c r="Q91" s="5" t="n">
        <v>0.53468</v>
      </c>
      <c r="R91" s="4" t="s">
        <v>114</v>
      </c>
      <c r="S91" s="4" t="s">
        <v>116</v>
      </c>
      <c r="T91" s="5" t="n">
        <v>0.53468</v>
      </c>
      <c r="U91" s="4" t="n">
        <f aca="false">IF(P91=$E91,1,0)</f>
        <v>1</v>
      </c>
      <c r="V91" s="4" t="n">
        <f aca="false">IF(OR(P91=$E91,R91=$E91,S91=$E91),1,0)</f>
        <v>1</v>
      </c>
      <c r="W91" s="4" t="n">
        <v>3</v>
      </c>
      <c r="X91" s="9" t="n">
        <f aca="false">-LN(MAX(T91,0.0001))</f>
        <v>0.626086841878865</v>
      </c>
      <c r="Y91" s="4" t="s">
        <v>107</v>
      </c>
      <c r="Z91" s="5" t="n">
        <v>0.55194</v>
      </c>
      <c r="AA91" s="4" t="s">
        <v>114</v>
      </c>
      <c r="AB91" s="4" t="s">
        <v>116</v>
      </c>
      <c r="AC91" s="5" t="n">
        <v>0.55194</v>
      </c>
      <c r="AD91" s="4" t="n">
        <f aca="false">IF(Y91=$E91,1,0)</f>
        <v>1</v>
      </c>
      <c r="AE91" s="4" t="n">
        <f aca="false">IF(OR(Y91=$E91,AA91=$E91,AB91=$E91),1,0)</f>
        <v>1</v>
      </c>
      <c r="AF91" s="4" t="n">
        <v>3</v>
      </c>
      <c r="AG91" s="9" t="n">
        <f aca="false">-LN(MAX(AC91,0.0001))</f>
        <v>0.594315934265016</v>
      </c>
    </row>
    <row r="92" customFormat="false" ht="15" hidden="false" customHeight="false" outlineLevel="0" collapsed="false">
      <c r="A92" s="4" t="n">
        <v>2020</v>
      </c>
      <c r="B92" s="4" t="n">
        <v>8</v>
      </c>
      <c r="C92" s="4" t="s">
        <v>127</v>
      </c>
      <c r="D92" s="4" t="s">
        <v>105</v>
      </c>
      <c r="E92" s="4" t="s">
        <v>145</v>
      </c>
      <c r="F92" s="4" t="n">
        <v>10</v>
      </c>
      <c r="G92" s="4" t="s">
        <v>107</v>
      </c>
      <c r="H92" s="5" t="n">
        <v>0.66256</v>
      </c>
      <c r="I92" s="4" t="s">
        <v>114</v>
      </c>
      <c r="J92" s="4" t="s">
        <v>116</v>
      </c>
      <c r="K92" s="5" t="n">
        <v>0.00506</v>
      </c>
      <c r="L92" s="4" t="n">
        <f aca="false">IF(G92=$E92,1,0)</f>
        <v>0</v>
      </c>
      <c r="M92" s="4" t="n">
        <f aca="false">IF(OR(G92=$E92,I92=$E92,J92=$E92),1,0)</f>
        <v>0</v>
      </c>
      <c r="N92" s="4" t="n">
        <v>0</v>
      </c>
      <c r="O92" s="9" t="n">
        <f aca="false">-LN(MAX(K92,0.0001))</f>
        <v>5.28638879568276</v>
      </c>
      <c r="P92" s="4" t="s">
        <v>107</v>
      </c>
      <c r="Q92" s="5" t="n">
        <v>0.52536</v>
      </c>
      <c r="R92" s="4" t="s">
        <v>114</v>
      </c>
      <c r="S92" s="4" t="s">
        <v>116</v>
      </c>
      <c r="T92" s="5" t="n">
        <v>0.00304</v>
      </c>
      <c r="U92" s="4" t="n">
        <f aca="false">IF(P92=$E92,1,0)</f>
        <v>0</v>
      </c>
      <c r="V92" s="4" t="n">
        <f aca="false">IF(OR(P92=$E92,R92=$E92,S92=$E92),1,0)</f>
        <v>0</v>
      </c>
      <c r="W92" s="4" t="n">
        <v>0</v>
      </c>
      <c r="X92" s="9" t="n">
        <f aca="false">-LN(MAX(T92,0.0001))</f>
        <v>5.79589776356401</v>
      </c>
      <c r="Y92" s="4" t="s">
        <v>107</v>
      </c>
      <c r="Z92" s="5" t="n">
        <v>0.55208</v>
      </c>
      <c r="AA92" s="4" t="s">
        <v>114</v>
      </c>
      <c r="AB92" s="4" t="s">
        <v>142</v>
      </c>
      <c r="AC92" s="5" t="n">
        <v>0.00718</v>
      </c>
      <c r="AD92" s="4" t="n">
        <f aca="false">IF(Y92=$E92,1,0)</f>
        <v>0</v>
      </c>
      <c r="AE92" s="4" t="n">
        <f aca="false">IF(OR(Y92=$E92,AA92=$E92,AB92=$E92),1,0)</f>
        <v>0</v>
      </c>
      <c r="AF92" s="4" t="n">
        <v>1</v>
      </c>
      <c r="AG92" s="9" t="n">
        <f aca="false">-LN(MAX(AC92,0.0001))</f>
        <v>4.93645589592201</v>
      </c>
    </row>
    <row r="93" customFormat="false" ht="15" hidden="false" customHeight="false" outlineLevel="0" collapsed="false">
      <c r="A93" s="4" t="n">
        <v>2020</v>
      </c>
      <c r="B93" s="4" t="n">
        <v>9</v>
      </c>
      <c r="C93" s="4" t="s">
        <v>146</v>
      </c>
      <c r="D93" s="4" t="s">
        <v>105</v>
      </c>
      <c r="E93" s="4" t="s">
        <v>107</v>
      </c>
      <c r="F93" s="4" t="n">
        <v>1</v>
      </c>
      <c r="G93" s="4" t="s">
        <v>107</v>
      </c>
      <c r="H93" s="5" t="n">
        <v>0.59278</v>
      </c>
      <c r="I93" s="4" t="s">
        <v>114</v>
      </c>
      <c r="J93" s="4" t="s">
        <v>116</v>
      </c>
      <c r="K93" s="5" t="n">
        <v>0.59278</v>
      </c>
      <c r="L93" s="4" t="n">
        <f aca="false">IF(G93=$E93,1,0)</f>
        <v>1</v>
      </c>
      <c r="M93" s="4" t="n">
        <f aca="false">IF(OR(G93=$E93,I93=$E93,J93=$E93),1,0)</f>
        <v>1</v>
      </c>
      <c r="N93" s="4" t="n">
        <v>2</v>
      </c>
      <c r="O93" s="9" t="n">
        <f aca="false">-LN(MAX(K93,0.0001))</f>
        <v>0.522931943761039</v>
      </c>
      <c r="P93" s="4" t="s">
        <v>107</v>
      </c>
      <c r="Q93" s="5" t="n">
        <v>0.48382</v>
      </c>
      <c r="R93" s="4" t="s">
        <v>114</v>
      </c>
      <c r="S93" s="4" t="s">
        <v>116</v>
      </c>
      <c r="T93" s="5" t="n">
        <v>0.48382</v>
      </c>
      <c r="U93" s="4" t="n">
        <f aca="false">IF(P93=$E93,1,0)</f>
        <v>1</v>
      </c>
      <c r="V93" s="4" t="n">
        <f aca="false">IF(OR(P93=$E93,R93=$E93,S93=$E93),1,0)</f>
        <v>1</v>
      </c>
      <c r="W93" s="4" t="n">
        <v>2</v>
      </c>
      <c r="X93" s="9" t="n">
        <f aca="false">-LN(MAX(T93,0.0001))</f>
        <v>0.726042342264215</v>
      </c>
      <c r="Y93" s="4" t="s">
        <v>107</v>
      </c>
      <c r="Z93" s="5" t="n">
        <v>0.5493</v>
      </c>
      <c r="AA93" s="4" t="s">
        <v>114</v>
      </c>
      <c r="AB93" s="4" t="s">
        <v>116</v>
      </c>
      <c r="AC93" s="5" t="n">
        <v>0.5493</v>
      </c>
      <c r="AD93" s="4" t="n">
        <f aca="false">IF(Y93=$E93,1,0)</f>
        <v>1</v>
      </c>
      <c r="AE93" s="4" t="n">
        <f aca="false">IF(OR(Y93=$E93,AA93=$E93,AB93=$E93),1,0)</f>
        <v>1</v>
      </c>
      <c r="AF93" s="4" t="n">
        <v>2</v>
      </c>
      <c r="AG93" s="9" t="n">
        <f aca="false">-LN(MAX(AC93,0.0001))</f>
        <v>0.599110538633562</v>
      </c>
    </row>
    <row r="94" customFormat="false" ht="15" hidden="false" customHeight="false" outlineLevel="0" collapsed="false">
      <c r="A94" s="4" t="n">
        <v>2020</v>
      </c>
      <c r="B94" s="4" t="n">
        <v>10</v>
      </c>
      <c r="C94" s="4" t="s">
        <v>113</v>
      </c>
      <c r="D94" s="4" t="s">
        <v>105</v>
      </c>
      <c r="E94" s="4" t="s">
        <v>114</v>
      </c>
      <c r="F94" s="4" t="n">
        <v>3</v>
      </c>
      <c r="G94" s="4" t="s">
        <v>107</v>
      </c>
      <c r="H94" s="5" t="n">
        <v>0.69788</v>
      </c>
      <c r="I94" s="4" t="s">
        <v>114</v>
      </c>
      <c r="J94" s="4" t="s">
        <v>116</v>
      </c>
      <c r="K94" s="5" t="n">
        <v>0.14254</v>
      </c>
      <c r="L94" s="4" t="n">
        <f aca="false">IF(G94=$E94,1,0)</f>
        <v>0</v>
      </c>
      <c r="M94" s="4" t="n">
        <f aca="false">IF(OR(G94=$E94,I94=$E94,J94=$E94),1,0)</f>
        <v>1</v>
      </c>
      <c r="N94" s="4" t="n">
        <v>3</v>
      </c>
      <c r="O94" s="9" t="n">
        <f aca="false">-LN(MAX(K94,0.0001))</f>
        <v>1.94813261690841</v>
      </c>
      <c r="P94" s="4" t="s">
        <v>107</v>
      </c>
      <c r="Q94" s="5" t="n">
        <v>0.51656</v>
      </c>
      <c r="R94" s="4" t="s">
        <v>114</v>
      </c>
      <c r="S94" s="4" t="s">
        <v>116</v>
      </c>
      <c r="T94" s="5" t="n">
        <v>0.28972</v>
      </c>
      <c r="U94" s="4" t="n">
        <f aca="false">IF(P94=$E94,1,0)</f>
        <v>0</v>
      </c>
      <c r="V94" s="4" t="n">
        <f aca="false">IF(OR(P94=$E94,R94=$E94,S94=$E94),1,0)</f>
        <v>1</v>
      </c>
      <c r="W94" s="4" t="n">
        <v>3</v>
      </c>
      <c r="X94" s="9" t="n">
        <f aca="false">-LN(MAX(T94,0.0001))</f>
        <v>1.23884033965501</v>
      </c>
      <c r="Y94" s="4" t="s">
        <v>107</v>
      </c>
      <c r="Z94" s="5" t="n">
        <v>0.5597</v>
      </c>
      <c r="AA94" s="4" t="s">
        <v>116</v>
      </c>
      <c r="AB94" s="4" t="s">
        <v>114</v>
      </c>
      <c r="AC94" s="5" t="n">
        <v>0.08892</v>
      </c>
      <c r="AD94" s="4" t="n">
        <f aca="false">IF(Y94=$E94,1,0)</f>
        <v>0</v>
      </c>
      <c r="AE94" s="4" t="n">
        <f aca="false">IF(OR(Y94=$E94,AA94=$E94,AB94=$E94),1,0)</f>
        <v>1</v>
      </c>
      <c r="AF94" s="4" t="n">
        <v>3</v>
      </c>
      <c r="AG94" s="9" t="n">
        <f aca="false">-LN(MAX(AC94,0.0001))</f>
        <v>2.42001818988614</v>
      </c>
    </row>
    <row r="95" customFormat="false" ht="15" hidden="false" customHeight="false" outlineLevel="0" collapsed="false">
      <c r="A95" s="4" t="n">
        <v>2020</v>
      </c>
      <c r="B95" s="4" t="n">
        <v>11</v>
      </c>
      <c r="C95" s="4" t="s">
        <v>147</v>
      </c>
      <c r="D95" s="4" t="s">
        <v>105</v>
      </c>
      <c r="E95" s="4" t="s">
        <v>107</v>
      </c>
      <c r="F95" s="4" t="n">
        <v>2</v>
      </c>
      <c r="G95" s="4" t="s">
        <v>114</v>
      </c>
      <c r="H95" s="5" t="n">
        <v>0.59206</v>
      </c>
      <c r="I95" s="4" t="s">
        <v>107</v>
      </c>
      <c r="J95" s="4" t="s">
        <v>116</v>
      </c>
      <c r="K95" s="5" t="n">
        <v>0.25152</v>
      </c>
      <c r="L95" s="4" t="n">
        <f aca="false">IF(G95=$E95,1,0)</f>
        <v>0</v>
      </c>
      <c r="M95" s="4" t="n">
        <f aca="false">IF(OR(G95=$E95,I95=$E95,J95=$E95),1,0)</f>
        <v>1</v>
      </c>
      <c r="N95" s="4" t="n">
        <v>2</v>
      </c>
      <c r="O95" s="9" t="n">
        <f aca="false">-LN(MAX(K95,0.0001))</f>
        <v>1.3802327697413</v>
      </c>
      <c r="P95" s="4" t="s">
        <v>107</v>
      </c>
      <c r="Q95" s="5" t="n">
        <v>0.47228</v>
      </c>
      <c r="R95" s="4" t="s">
        <v>114</v>
      </c>
      <c r="S95" s="4" t="s">
        <v>116</v>
      </c>
      <c r="T95" s="5" t="n">
        <v>0.47228</v>
      </c>
      <c r="U95" s="4" t="n">
        <f aca="false">IF(P95=$E95,1,0)</f>
        <v>1</v>
      </c>
      <c r="V95" s="4" t="n">
        <f aca="false">IF(OR(P95=$E95,R95=$E95,S95=$E95),1,0)</f>
        <v>1</v>
      </c>
      <c r="W95" s="4" t="n">
        <v>2</v>
      </c>
      <c r="X95" s="9" t="n">
        <f aca="false">-LN(MAX(T95,0.0001))</f>
        <v>0.750183248943228</v>
      </c>
      <c r="Y95" s="4" t="s">
        <v>114</v>
      </c>
      <c r="Z95" s="5" t="n">
        <v>0.55026</v>
      </c>
      <c r="AA95" s="4" t="s">
        <v>107</v>
      </c>
      <c r="AB95" s="4" t="s">
        <v>116</v>
      </c>
      <c r="AC95" s="5" t="n">
        <v>0.2015</v>
      </c>
      <c r="AD95" s="4" t="n">
        <f aca="false">IF(Y95=$E95,1,0)</f>
        <v>0</v>
      </c>
      <c r="AE95" s="4" t="n">
        <f aca="false">IF(OR(Y95=$E95,AA95=$E95,AB95=$E95),1,0)</f>
        <v>1</v>
      </c>
      <c r="AF95" s="4" t="n">
        <v>2</v>
      </c>
      <c r="AG95" s="9" t="n">
        <f aca="false">-LN(MAX(AC95,0.0001))</f>
        <v>1.6019658975954</v>
      </c>
    </row>
    <row r="96" customFormat="false" ht="15" hidden="false" customHeight="false" outlineLevel="0" collapsed="false">
      <c r="A96" s="4" t="n">
        <v>2020</v>
      </c>
      <c r="B96" s="4" t="n">
        <v>12</v>
      </c>
      <c r="C96" s="4" t="s">
        <v>148</v>
      </c>
      <c r="D96" s="4" t="s">
        <v>105</v>
      </c>
      <c r="E96" s="4" t="s">
        <v>107</v>
      </c>
      <c r="F96" s="4" t="n">
        <v>1</v>
      </c>
      <c r="G96" s="4" t="s">
        <v>107</v>
      </c>
      <c r="H96" s="5" t="n">
        <v>0.67074</v>
      </c>
      <c r="I96" s="4" t="s">
        <v>114</v>
      </c>
      <c r="J96" s="4" t="s">
        <v>116</v>
      </c>
      <c r="K96" s="5" t="n">
        <v>0.67074</v>
      </c>
      <c r="L96" s="4" t="n">
        <f aca="false">IF(G96=$E96,1,0)</f>
        <v>1</v>
      </c>
      <c r="M96" s="4" t="n">
        <f aca="false">IF(OR(G96=$E96,I96=$E96,J96=$E96),1,0)</f>
        <v>1</v>
      </c>
      <c r="N96" s="4" t="n">
        <v>3</v>
      </c>
      <c r="O96" s="9" t="n">
        <f aca="false">-LN(MAX(K96,0.0001))</f>
        <v>0.399373698471848</v>
      </c>
      <c r="P96" s="4" t="s">
        <v>107</v>
      </c>
      <c r="Q96" s="5" t="n">
        <v>0.55626</v>
      </c>
      <c r="R96" s="4" t="s">
        <v>114</v>
      </c>
      <c r="S96" s="4" t="s">
        <v>116</v>
      </c>
      <c r="T96" s="5" t="n">
        <v>0.55626</v>
      </c>
      <c r="U96" s="4" t="n">
        <f aca="false">IF(P96=$E96,1,0)</f>
        <v>1</v>
      </c>
      <c r="V96" s="4" t="n">
        <f aca="false">IF(OR(P96=$E96,R96=$E96,S96=$E96),1,0)</f>
        <v>1</v>
      </c>
      <c r="W96" s="4" t="n">
        <v>3</v>
      </c>
      <c r="X96" s="9" t="n">
        <f aca="false">-LN(MAX(T96,0.0001))</f>
        <v>0.586519468135191</v>
      </c>
      <c r="Y96" s="4" t="s">
        <v>107</v>
      </c>
      <c r="Z96" s="5" t="n">
        <v>0.54426</v>
      </c>
      <c r="AA96" s="4" t="s">
        <v>114</v>
      </c>
      <c r="AB96" s="4" t="s">
        <v>116</v>
      </c>
      <c r="AC96" s="5" t="n">
        <v>0.54426</v>
      </c>
      <c r="AD96" s="4" t="n">
        <f aca="false">IF(Y96=$E96,1,0)</f>
        <v>1</v>
      </c>
      <c r="AE96" s="4" t="n">
        <f aca="false">IF(OR(Y96=$E96,AA96=$E96,AB96=$E96),1,0)</f>
        <v>1</v>
      </c>
      <c r="AF96" s="4" t="n">
        <v>3</v>
      </c>
      <c r="AG96" s="9" t="n">
        <f aca="false">-LN(MAX(AC96,0.0001))</f>
        <v>0.608328205127229</v>
      </c>
    </row>
    <row r="97" customFormat="false" ht="15" hidden="false" customHeight="false" outlineLevel="0" collapsed="false">
      <c r="A97" s="4" t="n">
        <v>2020</v>
      </c>
      <c r="B97" s="4" t="n">
        <v>13</v>
      </c>
      <c r="C97" s="4" t="s">
        <v>149</v>
      </c>
      <c r="D97" s="4" t="s">
        <v>105</v>
      </c>
      <c r="E97" s="4" t="s">
        <v>107</v>
      </c>
      <c r="F97" s="4" t="n">
        <v>2</v>
      </c>
      <c r="G97" s="4" t="s">
        <v>114</v>
      </c>
      <c r="H97" s="5" t="n">
        <v>0.4288</v>
      </c>
      <c r="I97" s="4" t="s">
        <v>107</v>
      </c>
      <c r="J97" s="4" t="s">
        <v>116</v>
      </c>
      <c r="K97" s="5" t="n">
        <v>0.40306</v>
      </c>
      <c r="L97" s="4" t="n">
        <f aca="false">IF(G97=$E97,1,0)</f>
        <v>0</v>
      </c>
      <c r="M97" s="4" t="n">
        <f aca="false">IF(OR(G97=$E97,I97=$E97,J97=$E97),1,0)</f>
        <v>1</v>
      </c>
      <c r="N97" s="4" t="n">
        <v>2</v>
      </c>
      <c r="O97" s="9" t="n">
        <f aca="false">-LN(MAX(K97,0.0001))</f>
        <v>0.908669844742794</v>
      </c>
      <c r="P97" s="4" t="s">
        <v>107</v>
      </c>
      <c r="Q97" s="5" t="n">
        <v>0.52876</v>
      </c>
      <c r="R97" s="4" t="s">
        <v>114</v>
      </c>
      <c r="S97" s="4" t="s">
        <v>116</v>
      </c>
      <c r="T97" s="5" t="n">
        <v>0.52876</v>
      </c>
      <c r="U97" s="4" t="n">
        <f aca="false">IF(P97=$E97,1,0)</f>
        <v>1</v>
      </c>
      <c r="V97" s="4" t="n">
        <f aca="false">IF(OR(P97=$E97,R97=$E97,S97=$E97),1,0)</f>
        <v>1</v>
      </c>
      <c r="W97" s="4" t="n">
        <v>2</v>
      </c>
      <c r="X97" s="9" t="n">
        <f aca="false">-LN(MAX(T97,0.0001))</f>
        <v>0.637220636270938</v>
      </c>
      <c r="Y97" s="4" t="s">
        <v>114</v>
      </c>
      <c r="Z97" s="5" t="n">
        <v>0.5395</v>
      </c>
      <c r="AA97" s="4" t="s">
        <v>107</v>
      </c>
      <c r="AB97" s="4" t="s">
        <v>116</v>
      </c>
      <c r="AC97" s="5" t="n">
        <v>0.19986</v>
      </c>
      <c r="AD97" s="4" t="n">
        <f aca="false">IF(Y97=$E97,1,0)</f>
        <v>0</v>
      </c>
      <c r="AE97" s="4" t="n">
        <f aca="false">IF(OR(Y97=$E97,AA97=$E97,AB97=$E97),1,0)</f>
        <v>1</v>
      </c>
      <c r="AF97" s="4" t="n">
        <v>2</v>
      </c>
      <c r="AG97" s="9" t="n">
        <f aca="false">-LN(MAX(AC97,0.0001))</f>
        <v>1.61013815754849</v>
      </c>
    </row>
    <row r="98" customFormat="false" ht="15" hidden="false" customHeight="false" outlineLevel="0" collapsed="false">
      <c r="A98" s="4" t="n">
        <v>2020</v>
      </c>
      <c r="B98" s="4" t="n">
        <v>14</v>
      </c>
      <c r="C98" s="4" t="s">
        <v>150</v>
      </c>
      <c r="D98" s="4" t="s">
        <v>105</v>
      </c>
      <c r="E98" s="4" t="s">
        <v>107</v>
      </c>
      <c r="F98" s="4" t="n">
        <v>6</v>
      </c>
      <c r="G98" s="4" t="s">
        <v>116</v>
      </c>
      <c r="H98" s="5" t="n">
        <v>0.3395</v>
      </c>
      <c r="I98" s="4" t="s">
        <v>136</v>
      </c>
      <c r="J98" s="4" t="s">
        <v>143</v>
      </c>
      <c r="K98" s="5" t="n">
        <v>0.04978</v>
      </c>
      <c r="L98" s="4" t="n">
        <f aca="false">IF(G98=$E98,1,0)</f>
        <v>0</v>
      </c>
      <c r="M98" s="4" t="n">
        <f aca="false">IF(OR(G98=$E98,I98=$E98,J98=$E98),1,0)</f>
        <v>0</v>
      </c>
      <c r="N98" s="4" t="n">
        <v>1</v>
      </c>
      <c r="O98" s="9" t="n">
        <f aca="false">-LN(MAX(K98,0.0001))</f>
        <v>3.00014198204269</v>
      </c>
      <c r="P98" s="4" t="s">
        <v>107</v>
      </c>
      <c r="Q98" s="5" t="n">
        <v>0.5643</v>
      </c>
      <c r="R98" s="4" t="s">
        <v>114</v>
      </c>
      <c r="S98" s="4" t="s">
        <v>116</v>
      </c>
      <c r="T98" s="5" t="n">
        <v>0.5643</v>
      </c>
      <c r="U98" s="4" t="n">
        <f aca="false">IF(P98=$E98,1,0)</f>
        <v>1</v>
      </c>
      <c r="V98" s="4" t="n">
        <f aca="false">IF(OR(P98=$E98,R98=$E98,S98=$E98),1,0)</f>
        <v>1</v>
      </c>
      <c r="W98" s="4" t="n">
        <v>1</v>
      </c>
      <c r="X98" s="9" t="n">
        <f aca="false">-LN(MAX(T98,0.0001))</f>
        <v>0.572169254007043</v>
      </c>
      <c r="Y98" s="4" t="s">
        <v>136</v>
      </c>
      <c r="Z98" s="5" t="n">
        <v>0.49196</v>
      </c>
      <c r="AA98" s="4" t="s">
        <v>116</v>
      </c>
      <c r="AB98" s="4" t="s">
        <v>143</v>
      </c>
      <c r="AC98" s="5" t="n">
        <v>0.02632</v>
      </c>
      <c r="AD98" s="4" t="n">
        <f aca="false">IF(Y98=$E98,1,0)</f>
        <v>0</v>
      </c>
      <c r="AE98" s="4" t="n">
        <f aca="false">IF(OR(Y98=$E98,AA98=$E98,AB98=$E98),1,0)</f>
        <v>0</v>
      </c>
      <c r="AF98" s="4" t="n">
        <v>1</v>
      </c>
      <c r="AG98" s="9" t="n">
        <f aca="false">-LN(MAX(AC98,0.0001))</f>
        <v>3.63742617252502</v>
      </c>
    </row>
    <row r="99" customFormat="false" ht="15" hidden="false" customHeight="false" outlineLevel="0" collapsed="false">
      <c r="A99" s="4" t="n">
        <v>2020</v>
      </c>
      <c r="B99" s="4" t="n">
        <v>15</v>
      </c>
      <c r="C99" s="4" t="s">
        <v>109</v>
      </c>
      <c r="D99" s="4" t="s">
        <v>105</v>
      </c>
      <c r="E99" s="4" t="s">
        <v>107</v>
      </c>
      <c r="F99" s="4" t="n">
        <v>1</v>
      </c>
      <c r="G99" s="4" t="s">
        <v>107</v>
      </c>
      <c r="H99" s="5" t="n">
        <v>0.68588</v>
      </c>
      <c r="I99" s="4" t="s">
        <v>114</v>
      </c>
      <c r="J99" s="4" t="s">
        <v>116</v>
      </c>
      <c r="K99" s="5" t="n">
        <v>0.68588</v>
      </c>
      <c r="L99" s="4" t="n">
        <f aca="false">IF(G99=$E99,1,0)</f>
        <v>1</v>
      </c>
      <c r="M99" s="4" t="n">
        <f aca="false">IF(OR(G99=$E99,I99=$E99,J99=$E99),1,0)</f>
        <v>1</v>
      </c>
      <c r="N99" s="4" t="n">
        <v>2</v>
      </c>
      <c r="O99" s="9" t="n">
        <f aca="false">-LN(MAX(K99,0.0001))</f>
        <v>0.377052593671486</v>
      </c>
      <c r="P99" s="4" t="s">
        <v>107</v>
      </c>
      <c r="Q99" s="5" t="n">
        <v>0.61932</v>
      </c>
      <c r="R99" s="4" t="s">
        <v>114</v>
      </c>
      <c r="S99" s="4" t="s">
        <v>116</v>
      </c>
      <c r="T99" s="5" t="n">
        <v>0.61932</v>
      </c>
      <c r="U99" s="4" t="n">
        <f aca="false">IF(P99=$E99,1,0)</f>
        <v>1</v>
      </c>
      <c r="V99" s="4" t="n">
        <f aca="false">IF(OR(P99=$E99,R99=$E99,S99=$E99),1,0)</f>
        <v>1</v>
      </c>
      <c r="W99" s="4" t="n">
        <v>2</v>
      </c>
      <c r="X99" s="9" t="n">
        <f aca="false">-LN(MAX(T99,0.0001))</f>
        <v>0.479133177033501</v>
      </c>
      <c r="Y99" s="4" t="s">
        <v>107</v>
      </c>
      <c r="Z99" s="5" t="n">
        <v>0.55676</v>
      </c>
      <c r="AA99" s="4" t="s">
        <v>114</v>
      </c>
      <c r="AB99" s="4" t="s">
        <v>116</v>
      </c>
      <c r="AC99" s="5" t="n">
        <v>0.55676</v>
      </c>
      <c r="AD99" s="4" t="n">
        <f aca="false">IF(Y99=$E99,1,0)</f>
        <v>1</v>
      </c>
      <c r="AE99" s="4" t="n">
        <f aca="false">IF(OR(Y99=$E99,AA99=$E99,AB99=$E99),1,0)</f>
        <v>1</v>
      </c>
      <c r="AF99" s="4" t="n">
        <v>2</v>
      </c>
      <c r="AG99" s="9" t="n">
        <f aca="false">-LN(MAX(AC99,0.0001))</f>
        <v>0.585621011622937</v>
      </c>
    </row>
    <row r="100" customFormat="false" ht="15" hidden="false" customHeight="false" outlineLevel="0" collapsed="false">
      <c r="A100" s="4" t="n">
        <v>2020</v>
      </c>
      <c r="B100" s="4" t="n">
        <v>16</v>
      </c>
      <c r="C100" s="4" t="s">
        <v>151</v>
      </c>
      <c r="D100" s="4" t="s">
        <v>105</v>
      </c>
      <c r="E100" s="4" t="s">
        <v>143</v>
      </c>
      <c r="F100" s="4" t="n">
        <v>5</v>
      </c>
      <c r="G100" s="4" t="s">
        <v>114</v>
      </c>
      <c r="H100" s="5" t="n">
        <v>0.34106</v>
      </c>
      <c r="I100" s="4" t="s">
        <v>152</v>
      </c>
      <c r="J100" s="4" t="s">
        <v>116</v>
      </c>
      <c r="K100" s="5" t="n">
        <v>0.03234</v>
      </c>
      <c r="L100" s="4" t="n">
        <f aca="false">IF(G100=$E100,1,0)</f>
        <v>0</v>
      </c>
      <c r="M100" s="4" t="n">
        <f aca="false">IF(OR(G100=$E100,I100=$E100,J100=$E100),1,0)</f>
        <v>0</v>
      </c>
      <c r="N100" s="4" t="n">
        <v>0</v>
      </c>
      <c r="O100" s="9" t="n">
        <f aca="false">-LN(MAX(K100,0.0001))</f>
        <v>3.43145042483318</v>
      </c>
      <c r="P100" s="4" t="s">
        <v>116</v>
      </c>
      <c r="Q100" s="5" t="n">
        <v>0.38726</v>
      </c>
      <c r="R100" s="4" t="s">
        <v>114</v>
      </c>
      <c r="S100" s="4" t="s">
        <v>112</v>
      </c>
      <c r="T100" s="5" t="n">
        <v>0.02962</v>
      </c>
      <c r="U100" s="4" t="n">
        <f aca="false">IF(P100=$E100,1,0)</f>
        <v>0</v>
      </c>
      <c r="V100" s="4" t="n">
        <f aca="false">IF(OR(P100=$E100,R100=$E100,S100=$E100),1,0)</f>
        <v>0</v>
      </c>
      <c r="W100" s="4" t="n">
        <v>0</v>
      </c>
      <c r="X100" s="9" t="n">
        <f aca="false">-LN(MAX(T100,0.0001))</f>
        <v>3.51930547014248</v>
      </c>
      <c r="Y100" s="4" t="s">
        <v>114</v>
      </c>
      <c r="Z100" s="5" t="n">
        <v>0.55408</v>
      </c>
      <c r="AA100" s="4" t="s">
        <v>152</v>
      </c>
      <c r="AB100" s="4" t="s">
        <v>116</v>
      </c>
      <c r="AC100" s="5" t="n">
        <v>0.02726</v>
      </c>
      <c r="AD100" s="4" t="n">
        <f aca="false">IF(Y100=$E100,1,0)</f>
        <v>0</v>
      </c>
      <c r="AE100" s="4" t="n">
        <f aca="false">IF(OR(Y100=$E100,AA100=$E100,AB100=$E100),1,0)</f>
        <v>0</v>
      </c>
      <c r="AF100" s="4" t="n">
        <v>0</v>
      </c>
      <c r="AG100" s="9" t="n">
        <f aca="false">-LN(MAX(AC100,0.0001))</f>
        <v>3.60233485271375</v>
      </c>
    </row>
    <row r="101" customFormat="false" ht="15" hidden="false" customHeight="false" outlineLevel="0" collapsed="false">
      <c r="A101" s="4" t="n">
        <v>2020</v>
      </c>
      <c r="B101" s="4" t="n">
        <v>17</v>
      </c>
      <c r="C101" s="4" t="s">
        <v>134</v>
      </c>
      <c r="D101" s="4" t="s">
        <v>105</v>
      </c>
      <c r="E101" s="4" t="s">
        <v>116</v>
      </c>
      <c r="F101" s="4" t="n">
        <v>1</v>
      </c>
      <c r="G101" s="4" t="s">
        <v>116</v>
      </c>
      <c r="H101" s="5" t="n">
        <v>0.3445</v>
      </c>
      <c r="I101" s="4" t="s">
        <v>107</v>
      </c>
      <c r="J101" s="4" t="s">
        <v>153</v>
      </c>
      <c r="K101" s="5" t="n">
        <v>0.3445</v>
      </c>
      <c r="L101" s="4" t="n">
        <f aca="false">IF(G101=$E101,1,0)</f>
        <v>1</v>
      </c>
      <c r="M101" s="4" t="n">
        <f aca="false">IF(OR(G101=$E101,I101=$E101,J101=$E101),1,0)</f>
        <v>1</v>
      </c>
      <c r="N101" s="4" t="n">
        <v>3</v>
      </c>
      <c r="O101" s="9" t="n">
        <f aca="false">-LN(MAX(K101,0.0001))</f>
        <v>1.06566118852842</v>
      </c>
      <c r="P101" s="4" t="s">
        <v>107</v>
      </c>
      <c r="Q101" s="5" t="n">
        <v>0.63686</v>
      </c>
      <c r="R101" s="4" t="s">
        <v>116</v>
      </c>
      <c r="S101" s="4" t="s">
        <v>114</v>
      </c>
      <c r="T101" s="5" t="n">
        <v>0.12172</v>
      </c>
      <c r="U101" s="4" t="n">
        <f aca="false">IF(P101=$E101,1,0)</f>
        <v>0</v>
      </c>
      <c r="V101" s="4" t="n">
        <f aca="false">IF(OR(P101=$E101,R101=$E101,S101=$E101),1,0)</f>
        <v>1</v>
      </c>
      <c r="W101" s="4" t="n">
        <v>3</v>
      </c>
      <c r="X101" s="9" t="n">
        <f aca="false">-LN(MAX(T101,0.0001))</f>
        <v>2.10603195395337</v>
      </c>
      <c r="Y101" s="4" t="s">
        <v>116</v>
      </c>
      <c r="Z101" s="5" t="n">
        <v>0.48892</v>
      </c>
      <c r="AA101" s="4" t="s">
        <v>114</v>
      </c>
      <c r="AB101" s="4" t="s">
        <v>107</v>
      </c>
      <c r="AC101" s="5" t="n">
        <v>0.48892</v>
      </c>
      <c r="AD101" s="4" t="n">
        <f aca="false">IF(Y101=$E101,1,0)</f>
        <v>1</v>
      </c>
      <c r="AE101" s="4" t="n">
        <f aca="false">IF(OR(Y101=$E101,AA101=$E101,AB101=$E101),1,0)</f>
        <v>1</v>
      </c>
      <c r="AF101" s="4" t="n">
        <v>3</v>
      </c>
      <c r="AG101" s="9" t="n">
        <f aca="false">-LN(MAX(AC101,0.0001))</f>
        <v>0.715556402073075</v>
      </c>
    </row>
    <row r="102" customFormat="false" ht="15" hidden="false" customHeight="false" outlineLevel="0" collapsed="false">
      <c r="A102" s="4" t="n">
        <v>2021</v>
      </c>
      <c r="B102" s="4" t="n">
        <v>1</v>
      </c>
      <c r="C102" s="4" t="s">
        <v>109</v>
      </c>
      <c r="D102" s="4" t="s">
        <v>105</v>
      </c>
      <c r="E102" s="4" t="s">
        <v>107</v>
      </c>
      <c r="F102" s="4" t="n">
        <v>2</v>
      </c>
      <c r="G102" s="4" t="s">
        <v>116</v>
      </c>
      <c r="H102" s="5" t="n">
        <v>0.40586</v>
      </c>
      <c r="I102" s="4" t="s">
        <v>107</v>
      </c>
      <c r="J102" s="4" t="s">
        <v>114</v>
      </c>
      <c r="K102" s="5" t="n">
        <v>0.17512</v>
      </c>
      <c r="L102" s="4" t="n">
        <f aca="false">IF(G102=$E102,1,0)</f>
        <v>0</v>
      </c>
      <c r="M102" s="4" t="n">
        <f aca="false">IF(OR(G102=$E102,I102=$E102,J102=$E102),1,0)</f>
        <v>1</v>
      </c>
      <c r="N102" s="4" t="n">
        <v>3</v>
      </c>
      <c r="O102" s="9" t="n">
        <f aca="false">-LN(MAX(K102,0.0001))</f>
        <v>1.74228382576753</v>
      </c>
      <c r="P102" s="4" t="s">
        <v>107</v>
      </c>
      <c r="Q102" s="5" t="n">
        <v>0.39028</v>
      </c>
      <c r="R102" s="4" t="s">
        <v>116</v>
      </c>
      <c r="S102" s="4" t="s">
        <v>114</v>
      </c>
      <c r="T102" s="5" t="n">
        <v>0.39028</v>
      </c>
      <c r="U102" s="4" t="n">
        <f aca="false">IF(P102=$E102,1,0)</f>
        <v>1</v>
      </c>
      <c r="V102" s="4" t="n">
        <f aca="false">IF(OR(P102=$E102,R102=$E102,S102=$E102),1,0)</f>
        <v>1</v>
      </c>
      <c r="W102" s="4" t="n">
        <v>3</v>
      </c>
      <c r="X102" s="9" t="n">
        <f aca="false">-LN(MAX(T102,0.0001))</f>
        <v>0.940890848742388</v>
      </c>
      <c r="Y102" s="4" t="s">
        <v>116</v>
      </c>
      <c r="Z102" s="5" t="n">
        <v>0.49318</v>
      </c>
      <c r="AA102" s="4" t="s">
        <v>107</v>
      </c>
      <c r="AB102" s="4" t="s">
        <v>114</v>
      </c>
      <c r="AC102" s="5" t="n">
        <v>0.22212</v>
      </c>
      <c r="AD102" s="4" t="n">
        <f aca="false">IF(Y102=$E102,1,0)</f>
        <v>0</v>
      </c>
      <c r="AE102" s="4" t="n">
        <f aca="false">IF(OR(Y102=$E102,AA102=$E102,AB102=$E102),1,0)</f>
        <v>1</v>
      </c>
      <c r="AF102" s="4" t="n">
        <v>3</v>
      </c>
      <c r="AG102" s="9" t="n">
        <f aca="false">-LN(MAX(AC102,0.0001))</f>
        <v>1.50453750260873</v>
      </c>
    </row>
    <row r="103" customFormat="false" ht="15" hidden="false" customHeight="false" outlineLevel="0" collapsed="false">
      <c r="A103" s="4" t="n">
        <v>2021</v>
      </c>
      <c r="B103" s="4" t="n">
        <v>2</v>
      </c>
      <c r="C103" s="4" t="s">
        <v>149</v>
      </c>
      <c r="D103" s="4" t="s">
        <v>105</v>
      </c>
      <c r="E103" s="4" t="s">
        <v>116</v>
      </c>
      <c r="F103" s="4" t="n">
        <v>3</v>
      </c>
      <c r="G103" s="4" t="s">
        <v>107</v>
      </c>
      <c r="H103" s="5" t="n">
        <v>0.46446</v>
      </c>
      <c r="I103" s="4" t="s">
        <v>116</v>
      </c>
      <c r="J103" s="4" t="s">
        <v>143</v>
      </c>
      <c r="K103" s="5" t="n">
        <v>0.20584</v>
      </c>
      <c r="L103" s="4" t="n">
        <f aca="false">IF(G103=$E103,1,0)</f>
        <v>0</v>
      </c>
      <c r="M103" s="4" t="n">
        <f aca="false">IF(OR(G103=$E103,I103=$E103,J103=$E103),1,0)</f>
        <v>1</v>
      </c>
      <c r="N103" s="4" t="n">
        <v>2</v>
      </c>
      <c r="O103" s="9" t="n">
        <f aca="false">-LN(MAX(K103,0.0001))</f>
        <v>1.58065611100865</v>
      </c>
      <c r="P103" s="4" t="s">
        <v>107</v>
      </c>
      <c r="Q103" s="5" t="n">
        <v>0.47306</v>
      </c>
      <c r="R103" s="4" t="s">
        <v>116</v>
      </c>
      <c r="S103" s="4" t="s">
        <v>114</v>
      </c>
      <c r="T103" s="5" t="n">
        <v>0.20402</v>
      </c>
      <c r="U103" s="4" t="n">
        <f aca="false">IF(P103=$E103,1,0)</f>
        <v>0</v>
      </c>
      <c r="V103" s="4" t="n">
        <f aca="false">IF(OR(P103=$E103,R103=$E103,S103=$E103),1,0)</f>
        <v>1</v>
      </c>
      <c r="W103" s="4" t="n">
        <v>2</v>
      </c>
      <c r="X103" s="9" t="n">
        <f aca="false">-LN(MAX(T103,0.0001))</f>
        <v>1.58953725072776</v>
      </c>
      <c r="Y103" s="4" t="s">
        <v>107</v>
      </c>
      <c r="Z103" s="5" t="n">
        <v>0.56134</v>
      </c>
      <c r="AA103" s="4" t="s">
        <v>143</v>
      </c>
      <c r="AB103" s="4" t="s">
        <v>116</v>
      </c>
      <c r="AC103" s="5" t="n">
        <v>0.07996</v>
      </c>
      <c r="AD103" s="4" t="n">
        <f aca="false">IF(Y103=$E103,1,0)</f>
        <v>0</v>
      </c>
      <c r="AE103" s="4" t="n">
        <f aca="false">IF(OR(Y103=$E103,AA103=$E103,AB103=$E103),1,0)</f>
        <v>1</v>
      </c>
      <c r="AF103" s="4" t="n">
        <v>2</v>
      </c>
      <c r="AG103" s="9" t="n">
        <f aca="false">-LN(MAX(AC103,0.0001))</f>
        <v>2.52622876934994</v>
      </c>
    </row>
    <row r="104" customFormat="false" ht="15" hidden="false" customHeight="false" outlineLevel="0" collapsed="false">
      <c r="A104" s="4" t="n">
        <v>2021</v>
      </c>
      <c r="B104" s="4" t="n">
        <v>3</v>
      </c>
      <c r="C104" s="4" t="s">
        <v>148</v>
      </c>
      <c r="D104" s="4" t="s">
        <v>105</v>
      </c>
      <c r="E104" s="4" t="s">
        <v>107</v>
      </c>
      <c r="F104" s="4" t="n">
        <v>2</v>
      </c>
      <c r="G104" s="4" t="s">
        <v>107</v>
      </c>
      <c r="H104" s="5" t="n">
        <v>0.5219</v>
      </c>
      <c r="I104" s="4" t="s">
        <v>116</v>
      </c>
      <c r="J104" s="4" t="s">
        <v>114</v>
      </c>
      <c r="K104" s="5" t="n">
        <v>0.5219</v>
      </c>
      <c r="L104" s="4" t="n">
        <f aca="false">IF(G104=$E104,1,0)</f>
        <v>1</v>
      </c>
      <c r="M104" s="4" t="n">
        <f aca="false">IF(OR(G104=$E104,I104=$E104,J104=$E104),1,0)</f>
        <v>1</v>
      </c>
      <c r="N104" s="4" t="n">
        <v>3</v>
      </c>
      <c r="O104" s="9" t="n">
        <f aca="false">-LN(MAX(K104,0.0001))</f>
        <v>0.65027928033277</v>
      </c>
      <c r="P104" s="4" t="s">
        <v>107</v>
      </c>
      <c r="Q104" s="5" t="n">
        <v>0.51558</v>
      </c>
      <c r="R104" s="4" t="s">
        <v>116</v>
      </c>
      <c r="S104" s="4" t="s">
        <v>114</v>
      </c>
      <c r="T104" s="5" t="n">
        <v>0.51558</v>
      </c>
      <c r="U104" s="4" t="n">
        <f aca="false">IF(P104=$E104,1,0)</f>
        <v>1</v>
      </c>
      <c r="V104" s="4" t="n">
        <f aca="false">IF(OR(P104=$E104,R104=$E104,S104=$E104),1,0)</f>
        <v>1</v>
      </c>
      <c r="W104" s="4" t="n">
        <v>3</v>
      </c>
      <c r="X104" s="9" t="n">
        <f aca="false">-LN(MAX(T104,0.0001))</f>
        <v>0.66246279842895</v>
      </c>
      <c r="Y104" s="4" t="s">
        <v>114</v>
      </c>
      <c r="Z104" s="5" t="n">
        <v>0.54062</v>
      </c>
      <c r="AA104" s="4" t="s">
        <v>107</v>
      </c>
      <c r="AB104" s="4" t="s">
        <v>116</v>
      </c>
      <c r="AC104" s="5" t="n">
        <v>0.2026</v>
      </c>
      <c r="AD104" s="4" t="n">
        <f aca="false">IF(Y104=$E104,1,0)</f>
        <v>0</v>
      </c>
      <c r="AE104" s="4" t="n">
        <f aca="false">IF(OR(Y104=$E104,AA104=$E104,AB104=$E104),1,0)</f>
        <v>1</v>
      </c>
      <c r="AF104" s="4" t="n">
        <v>3</v>
      </c>
      <c r="AG104" s="9" t="n">
        <f aca="false">-LN(MAX(AC104,0.0001))</f>
        <v>1.59652168716755</v>
      </c>
    </row>
    <row r="105" customFormat="false" ht="15" hidden="false" customHeight="false" outlineLevel="0" collapsed="false">
      <c r="A105" s="4" t="n">
        <v>2021</v>
      </c>
      <c r="B105" s="4" t="n">
        <v>4</v>
      </c>
      <c r="C105" s="4" t="s">
        <v>115</v>
      </c>
      <c r="D105" s="4" t="s">
        <v>105</v>
      </c>
      <c r="E105" s="4" t="s">
        <v>107</v>
      </c>
      <c r="F105" s="4" t="n">
        <v>1</v>
      </c>
      <c r="G105" s="4" t="s">
        <v>107</v>
      </c>
      <c r="H105" s="5" t="n">
        <v>0.62822</v>
      </c>
      <c r="I105" s="4" t="s">
        <v>116</v>
      </c>
      <c r="J105" s="4" t="s">
        <v>114</v>
      </c>
      <c r="K105" s="5" t="n">
        <v>0.62822</v>
      </c>
      <c r="L105" s="4" t="n">
        <f aca="false">IF(G105=$E105,1,0)</f>
        <v>1</v>
      </c>
      <c r="M105" s="4" t="n">
        <f aca="false">IF(OR(G105=$E105,I105=$E105,J105=$E105),1,0)</f>
        <v>1</v>
      </c>
      <c r="N105" s="4" t="n">
        <v>3</v>
      </c>
      <c r="O105" s="9" t="n">
        <f aca="false">-LN(MAX(K105,0.0001))</f>
        <v>0.46486485538979</v>
      </c>
      <c r="P105" s="4" t="s">
        <v>107</v>
      </c>
      <c r="Q105" s="5" t="n">
        <v>0.52288</v>
      </c>
      <c r="R105" s="4" t="s">
        <v>116</v>
      </c>
      <c r="S105" s="4" t="s">
        <v>114</v>
      </c>
      <c r="T105" s="5" t="n">
        <v>0.52288</v>
      </c>
      <c r="U105" s="4" t="n">
        <f aca="false">IF(P105=$E105,1,0)</f>
        <v>1</v>
      </c>
      <c r="V105" s="4" t="n">
        <f aca="false">IF(OR(P105=$E105,R105=$E105,S105=$E105),1,0)</f>
        <v>1</v>
      </c>
      <c r="W105" s="4" t="n">
        <v>3</v>
      </c>
      <c r="X105" s="9" t="n">
        <f aca="false">-LN(MAX(T105,0.0001))</f>
        <v>0.648403286750554</v>
      </c>
      <c r="Y105" s="4" t="s">
        <v>107</v>
      </c>
      <c r="Z105" s="5" t="n">
        <v>0.5488</v>
      </c>
      <c r="AA105" s="4" t="s">
        <v>116</v>
      </c>
      <c r="AB105" s="4" t="s">
        <v>114</v>
      </c>
      <c r="AC105" s="5" t="n">
        <v>0.5488</v>
      </c>
      <c r="AD105" s="4" t="n">
        <f aca="false">IF(Y105=$E105,1,0)</f>
        <v>1</v>
      </c>
      <c r="AE105" s="4" t="n">
        <f aca="false">IF(OR(Y105=$E105,AA105=$E105,AB105=$E105),1,0)</f>
        <v>1</v>
      </c>
      <c r="AF105" s="4" t="n">
        <v>3</v>
      </c>
      <c r="AG105" s="9" t="n">
        <f aca="false">-LN(MAX(AC105,0.0001))</f>
        <v>0.600021202570462</v>
      </c>
    </row>
    <row r="106" customFormat="false" ht="15" hidden="false" customHeight="false" outlineLevel="0" collapsed="false">
      <c r="A106" s="4" t="n">
        <v>2021</v>
      </c>
      <c r="B106" s="4" t="n">
        <v>5</v>
      </c>
      <c r="C106" s="4" t="s">
        <v>117</v>
      </c>
      <c r="D106" s="4" t="s">
        <v>105</v>
      </c>
      <c r="E106" s="4" t="s">
        <v>116</v>
      </c>
      <c r="F106" s="4" t="n">
        <v>2</v>
      </c>
      <c r="G106" s="4" t="s">
        <v>139</v>
      </c>
      <c r="H106" s="5" t="n">
        <v>0.32794</v>
      </c>
      <c r="I106" s="4" t="s">
        <v>116</v>
      </c>
      <c r="J106" s="4" t="s">
        <v>114</v>
      </c>
      <c r="K106" s="5" t="n">
        <v>0.25788</v>
      </c>
      <c r="L106" s="4" t="n">
        <f aca="false">IF(G106=$E106,1,0)</f>
        <v>0</v>
      </c>
      <c r="M106" s="4" t="n">
        <f aca="false">IF(OR(G106=$E106,I106=$E106,J106=$E106),1,0)</f>
        <v>1</v>
      </c>
      <c r="N106" s="4" t="n">
        <v>1</v>
      </c>
      <c r="O106" s="9" t="n">
        <f aca="false">-LN(MAX(K106,0.0001))</f>
        <v>1.35526091853972</v>
      </c>
      <c r="P106" s="4" t="s">
        <v>107</v>
      </c>
      <c r="Q106" s="5" t="n">
        <v>0.51666</v>
      </c>
      <c r="R106" s="4" t="s">
        <v>116</v>
      </c>
      <c r="S106" s="4" t="s">
        <v>114</v>
      </c>
      <c r="T106" s="5" t="n">
        <v>0.20616</v>
      </c>
      <c r="U106" s="4" t="n">
        <f aca="false">IF(P106=$E106,1,0)</f>
        <v>0</v>
      </c>
      <c r="V106" s="4" t="n">
        <f aca="false">IF(OR(P106=$E106,R106=$E106,S106=$E106),1,0)</f>
        <v>1</v>
      </c>
      <c r="W106" s="4" t="n">
        <v>1</v>
      </c>
      <c r="X106" s="9" t="n">
        <f aca="false">-LN(MAX(T106,0.0001))</f>
        <v>1.57910271263803</v>
      </c>
      <c r="Y106" s="4" t="s">
        <v>139</v>
      </c>
      <c r="Z106" s="5" t="n">
        <v>0.53586</v>
      </c>
      <c r="AA106" s="4" t="s">
        <v>116</v>
      </c>
      <c r="AB106" s="4" t="s">
        <v>114</v>
      </c>
      <c r="AC106" s="5" t="n">
        <v>0.18614</v>
      </c>
      <c r="AD106" s="4" t="n">
        <f aca="false">IF(Y106=$E106,1,0)</f>
        <v>0</v>
      </c>
      <c r="AE106" s="4" t="n">
        <f aca="false">IF(OR(Y106=$E106,AA106=$E106,AB106=$E106),1,0)</f>
        <v>1</v>
      </c>
      <c r="AF106" s="4" t="n">
        <v>1</v>
      </c>
      <c r="AG106" s="9" t="n">
        <f aca="false">-LN(MAX(AC106,0.0001))</f>
        <v>1.68125620022457</v>
      </c>
    </row>
    <row r="107" customFormat="false" ht="15" hidden="false" customHeight="false" outlineLevel="0" collapsed="false">
      <c r="A107" s="4" t="n">
        <v>2021</v>
      </c>
      <c r="B107" s="4" t="n">
        <v>6</v>
      </c>
      <c r="C107" s="4" t="s">
        <v>135</v>
      </c>
      <c r="D107" s="4" t="s">
        <v>105</v>
      </c>
      <c r="E107" s="4" t="s">
        <v>143</v>
      </c>
      <c r="F107" s="4" t="n">
        <v>6</v>
      </c>
      <c r="G107" s="4" t="s">
        <v>107</v>
      </c>
      <c r="H107" s="5" t="n">
        <v>0.32392</v>
      </c>
      <c r="I107" s="4" t="s">
        <v>139</v>
      </c>
      <c r="J107" s="4" t="s">
        <v>116</v>
      </c>
      <c r="K107" s="5" t="n">
        <v>0.05546</v>
      </c>
      <c r="L107" s="4" t="n">
        <f aca="false">IF(G107=$E107,1,0)</f>
        <v>0</v>
      </c>
      <c r="M107" s="4" t="n">
        <f aca="false">IF(OR(G107=$E107,I107=$E107,J107=$E107),1,0)</f>
        <v>0</v>
      </c>
      <c r="N107" s="4" t="n">
        <v>0</v>
      </c>
      <c r="O107" s="9" t="n">
        <f aca="false">-LN(MAX(K107,0.0001))</f>
        <v>2.89209323879451</v>
      </c>
      <c r="P107" s="4" t="s">
        <v>107</v>
      </c>
      <c r="Q107" s="5" t="n">
        <v>0.42368</v>
      </c>
      <c r="R107" s="4" t="s">
        <v>116</v>
      </c>
      <c r="S107" s="4" t="s">
        <v>114</v>
      </c>
      <c r="T107" s="5" t="n">
        <v>0.03952</v>
      </c>
      <c r="U107" s="4" t="n">
        <f aca="false">IF(P107=$E107,1,0)</f>
        <v>0</v>
      </c>
      <c r="V107" s="4" t="n">
        <f aca="false">IF(OR(P107=$E107,R107=$E107,S107=$E107),1,0)</f>
        <v>0</v>
      </c>
      <c r="W107" s="4" t="n">
        <v>0</v>
      </c>
      <c r="X107" s="9" t="n">
        <f aca="false">-LN(MAX(T107,0.0001))</f>
        <v>3.23094840610247</v>
      </c>
      <c r="Y107" s="4" t="s">
        <v>139</v>
      </c>
      <c r="Z107" s="5" t="n">
        <v>0.5129</v>
      </c>
      <c r="AA107" s="4" t="s">
        <v>107</v>
      </c>
      <c r="AB107" s="4" t="s">
        <v>116</v>
      </c>
      <c r="AC107" s="5" t="n">
        <v>0.02238</v>
      </c>
      <c r="AD107" s="4" t="n">
        <f aca="false">IF(Y107=$E107,1,0)</f>
        <v>0</v>
      </c>
      <c r="AE107" s="4" t="n">
        <f aca="false">IF(OR(Y107=$E107,AA107=$E107,AB107=$E107),1,0)</f>
        <v>0</v>
      </c>
      <c r="AF107" s="4" t="n">
        <v>0</v>
      </c>
      <c r="AG107" s="9" t="n">
        <f aca="false">-LN(MAX(AC107,0.0001))</f>
        <v>3.79958757609836</v>
      </c>
    </row>
    <row r="108" customFormat="false" ht="15" hidden="false" customHeight="false" outlineLevel="0" collapsed="false">
      <c r="A108" s="4" t="n">
        <v>2021</v>
      </c>
      <c r="B108" s="4" t="n">
        <v>7</v>
      </c>
      <c r="C108" s="4" t="s">
        <v>138</v>
      </c>
      <c r="D108" s="4" t="s">
        <v>105</v>
      </c>
      <c r="E108" s="4" t="s">
        <v>116</v>
      </c>
      <c r="F108" s="4" t="n">
        <v>1</v>
      </c>
      <c r="G108" s="4" t="s">
        <v>116</v>
      </c>
      <c r="H108" s="5" t="n">
        <v>0.42876</v>
      </c>
      <c r="I108" s="4" t="s">
        <v>143</v>
      </c>
      <c r="J108" s="4" t="s">
        <v>107</v>
      </c>
      <c r="K108" s="5" t="n">
        <v>0.42876</v>
      </c>
      <c r="L108" s="4" t="n">
        <f aca="false">IF(G108=$E108,1,0)</f>
        <v>1</v>
      </c>
      <c r="M108" s="4" t="n">
        <f aca="false">IF(OR(G108=$E108,I108=$E108,J108=$E108),1,0)</f>
        <v>1</v>
      </c>
      <c r="N108" s="4" t="n">
        <v>3</v>
      </c>
      <c r="O108" s="9" t="n">
        <f aca="false">-LN(MAX(K108,0.0001))</f>
        <v>0.846857957158818</v>
      </c>
      <c r="P108" s="4" t="s">
        <v>116</v>
      </c>
      <c r="Q108" s="5" t="n">
        <v>0.31432</v>
      </c>
      <c r="R108" s="4" t="s">
        <v>107</v>
      </c>
      <c r="S108" s="4" t="s">
        <v>143</v>
      </c>
      <c r="T108" s="5" t="n">
        <v>0.31432</v>
      </c>
      <c r="U108" s="4" t="n">
        <f aca="false">IF(P108=$E108,1,0)</f>
        <v>1</v>
      </c>
      <c r="V108" s="4" t="n">
        <f aca="false">IF(OR(P108=$E108,R108=$E108,S108=$E108),1,0)</f>
        <v>1</v>
      </c>
      <c r="W108" s="4" t="n">
        <v>3</v>
      </c>
      <c r="X108" s="9" t="n">
        <f aca="false">-LN(MAX(T108,0.0001))</f>
        <v>1.15734370373193</v>
      </c>
      <c r="Y108" s="4" t="s">
        <v>116</v>
      </c>
      <c r="Z108" s="5" t="n">
        <v>0.49464</v>
      </c>
      <c r="AA108" s="4" t="s">
        <v>107</v>
      </c>
      <c r="AB108" s="4" t="s">
        <v>114</v>
      </c>
      <c r="AC108" s="5" t="n">
        <v>0.49464</v>
      </c>
      <c r="AD108" s="4" t="n">
        <f aca="false">IF(Y108=$E108,1,0)</f>
        <v>1</v>
      </c>
      <c r="AE108" s="4" t="n">
        <f aca="false">IF(OR(Y108=$E108,AA108=$E108,AB108=$E108),1,0)</f>
        <v>1</v>
      </c>
      <c r="AF108" s="4" t="n">
        <v>2</v>
      </c>
      <c r="AG108" s="9" t="n">
        <f aca="false">-LN(MAX(AC108,0.0001))</f>
        <v>0.703925053731824</v>
      </c>
    </row>
    <row r="109" customFormat="false" ht="15" hidden="false" customHeight="false" outlineLevel="0" collapsed="false">
      <c r="A109" s="4" t="n">
        <v>2021</v>
      </c>
      <c r="B109" s="4" t="n">
        <v>8</v>
      </c>
      <c r="C109" s="4" t="s">
        <v>141</v>
      </c>
      <c r="D109" s="4" t="s">
        <v>105</v>
      </c>
      <c r="E109" s="4" t="s">
        <v>116</v>
      </c>
      <c r="F109" s="4" t="n">
        <v>1</v>
      </c>
      <c r="G109" s="4" t="s">
        <v>116</v>
      </c>
      <c r="H109" s="5" t="n">
        <v>0.47546</v>
      </c>
      <c r="I109" s="4" t="s">
        <v>143</v>
      </c>
      <c r="J109" s="4" t="s">
        <v>107</v>
      </c>
      <c r="K109" s="5" t="n">
        <v>0.47546</v>
      </c>
      <c r="L109" s="4" t="n">
        <f aca="false">IF(G109=$E109,1,0)</f>
        <v>1</v>
      </c>
      <c r="M109" s="4" t="n">
        <f aca="false">IF(OR(G109=$E109,I109=$E109,J109=$E109),1,0)</f>
        <v>1</v>
      </c>
      <c r="N109" s="4" t="n">
        <v>2</v>
      </c>
      <c r="O109" s="9" t="n">
        <f aca="false">-LN(MAX(K109,0.0001))</f>
        <v>0.743472522512011</v>
      </c>
      <c r="P109" s="4" t="s">
        <v>116</v>
      </c>
      <c r="Q109" s="5" t="n">
        <v>0.37206</v>
      </c>
      <c r="R109" s="4" t="s">
        <v>107</v>
      </c>
      <c r="S109" s="4" t="s">
        <v>143</v>
      </c>
      <c r="T109" s="5" t="n">
        <v>0.37206</v>
      </c>
      <c r="U109" s="4" t="n">
        <f aca="false">IF(P109=$E109,1,0)</f>
        <v>1</v>
      </c>
      <c r="V109" s="4" t="n">
        <f aca="false">IF(OR(P109=$E109,R109=$E109,S109=$E109),1,0)</f>
        <v>1</v>
      </c>
      <c r="W109" s="4" t="n">
        <v>2</v>
      </c>
      <c r="X109" s="9" t="n">
        <f aca="false">-LN(MAX(T109,0.0001))</f>
        <v>0.988700147392296</v>
      </c>
      <c r="Y109" s="4" t="s">
        <v>116</v>
      </c>
      <c r="Z109" s="5" t="n">
        <v>0.50718</v>
      </c>
      <c r="AA109" s="4" t="s">
        <v>107</v>
      </c>
      <c r="AB109" s="4" t="s">
        <v>140</v>
      </c>
      <c r="AC109" s="5" t="n">
        <v>0.50718</v>
      </c>
      <c r="AD109" s="4" t="n">
        <f aca="false">IF(Y109=$E109,1,0)</f>
        <v>1</v>
      </c>
      <c r="AE109" s="4" t="n">
        <f aca="false">IF(OR(Y109=$E109,AA109=$E109,AB109=$E109),1,0)</f>
        <v>1</v>
      </c>
      <c r="AF109" s="4" t="n">
        <v>2</v>
      </c>
      <c r="AG109" s="9" t="n">
        <f aca="false">-LN(MAX(AC109,0.0001))</f>
        <v>0.678889308813246</v>
      </c>
    </row>
    <row r="110" customFormat="false" ht="15" hidden="false" customHeight="false" outlineLevel="0" collapsed="false">
      <c r="A110" s="4" t="n">
        <v>2021</v>
      </c>
      <c r="B110" s="4" t="n">
        <v>9</v>
      </c>
      <c r="C110" s="4" t="s">
        <v>120</v>
      </c>
      <c r="D110" s="4" t="s">
        <v>105</v>
      </c>
      <c r="E110" s="4" t="s">
        <v>116</v>
      </c>
      <c r="F110" s="4" t="n">
        <v>1</v>
      </c>
      <c r="G110" s="4" t="s">
        <v>116</v>
      </c>
      <c r="H110" s="5" t="n">
        <v>0.49366</v>
      </c>
      <c r="I110" s="4" t="s">
        <v>140</v>
      </c>
      <c r="J110" s="4" t="s">
        <v>143</v>
      </c>
      <c r="K110" s="5" t="n">
        <v>0.49366</v>
      </c>
      <c r="L110" s="4" t="n">
        <f aca="false">IF(G110=$E110,1,0)</f>
        <v>1</v>
      </c>
      <c r="M110" s="4" t="n">
        <f aca="false">IF(OR(G110=$E110,I110=$E110,J110=$E110),1,0)</f>
        <v>1</v>
      </c>
      <c r="N110" s="4" t="n">
        <v>2</v>
      </c>
      <c r="O110" s="9" t="n">
        <f aca="false">-LN(MAX(K110,0.0001))</f>
        <v>0.70590825786256</v>
      </c>
      <c r="P110" s="4" t="s">
        <v>116</v>
      </c>
      <c r="Q110" s="5" t="n">
        <v>0.40074</v>
      </c>
      <c r="R110" s="4" t="s">
        <v>107</v>
      </c>
      <c r="S110" s="4" t="s">
        <v>114</v>
      </c>
      <c r="T110" s="5" t="n">
        <v>0.40074</v>
      </c>
      <c r="U110" s="4" t="n">
        <f aca="false">IF(P110=$E110,1,0)</f>
        <v>1</v>
      </c>
      <c r="V110" s="4" t="n">
        <f aca="false">IF(OR(P110=$E110,R110=$E110,S110=$E110),1,0)</f>
        <v>1</v>
      </c>
      <c r="W110" s="4" t="n">
        <v>2</v>
      </c>
      <c r="X110" s="9" t="n">
        <f aca="false">-LN(MAX(T110,0.0001))</f>
        <v>0.914442441016538</v>
      </c>
      <c r="Y110" s="4" t="s">
        <v>116</v>
      </c>
      <c r="Z110" s="5" t="n">
        <v>0.50858</v>
      </c>
      <c r="AA110" s="4" t="s">
        <v>140</v>
      </c>
      <c r="AB110" s="4" t="s">
        <v>143</v>
      </c>
      <c r="AC110" s="5" t="n">
        <v>0.50858</v>
      </c>
      <c r="AD110" s="4" t="n">
        <f aca="false">IF(Y110=$E110,1,0)</f>
        <v>1</v>
      </c>
      <c r="AE110" s="4" t="n">
        <f aca="false">IF(OR(Y110=$E110,AA110=$E110,AB110=$E110),1,0)</f>
        <v>1</v>
      </c>
      <c r="AF110" s="4" t="n">
        <v>2</v>
      </c>
      <c r="AG110" s="9" t="n">
        <f aca="false">-LN(MAX(AC110,0.0001))</f>
        <v>0.676132750400816</v>
      </c>
    </row>
    <row r="111" customFormat="false" ht="15" hidden="false" customHeight="false" outlineLevel="0" collapsed="false">
      <c r="A111" s="4" t="n">
        <v>2021</v>
      </c>
      <c r="B111" s="4" t="n">
        <v>10</v>
      </c>
      <c r="C111" s="4" t="s">
        <v>123</v>
      </c>
      <c r="D111" s="4" t="s">
        <v>105</v>
      </c>
      <c r="E111" s="4" t="s">
        <v>107</v>
      </c>
      <c r="F111" s="4" t="n">
        <v>2</v>
      </c>
      <c r="G111" s="4" t="s">
        <v>116</v>
      </c>
      <c r="H111" s="5" t="n">
        <v>0.66166</v>
      </c>
      <c r="I111" s="4" t="s">
        <v>107</v>
      </c>
      <c r="J111" s="4" t="s">
        <v>114</v>
      </c>
      <c r="K111" s="5" t="n">
        <v>0.1961</v>
      </c>
      <c r="L111" s="4" t="n">
        <f aca="false">IF(G111=$E111,1,0)</f>
        <v>0</v>
      </c>
      <c r="M111" s="4" t="n">
        <f aca="false">IF(OR(G111=$E111,I111=$E111,J111=$E111),1,0)</f>
        <v>1</v>
      </c>
      <c r="N111" s="4" t="n">
        <v>2</v>
      </c>
      <c r="O111" s="9" t="n">
        <f aca="false">-LN(MAX(K111,0.0001))</f>
        <v>1.62913054577984</v>
      </c>
      <c r="P111" s="4" t="s">
        <v>116</v>
      </c>
      <c r="Q111" s="5" t="n">
        <v>0.43422</v>
      </c>
      <c r="R111" s="4" t="s">
        <v>107</v>
      </c>
      <c r="S111" s="4" t="s">
        <v>114</v>
      </c>
      <c r="T111" s="5" t="n">
        <v>0.22638</v>
      </c>
      <c r="U111" s="4" t="n">
        <f aca="false">IF(P111=$E111,1,0)</f>
        <v>0</v>
      </c>
      <c r="V111" s="4" t="n">
        <f aca="false">IF(OR(P111=$E111,R111=$E111,S111=$E111),1,0)</f>
        <v>1</v>
      </c>
      <c r="W111" s="4" t="n">
        <v>2</v>
      </c>
      <c r="X111" s="9" t="n">
        <f aca="false">-LN(MAX(T111,0.0001))</f>
        <v>1.48554027577786</v>
      </c>
      <c r="Y111" s="4" t="s">
        <v>116</v>
      </c>
      <c r="Z111" s="5" t="n">
        <v>0.5163</v>
      </c>
      <c r="AA111" s="4" t="s">
        <v>107</v>
      </c>
      <c r="AB111" s="4" t="s">
        <v>114</v>
      </c>
      <c r="AC111" s="5" t="n">
        <v>0.20468</v>
      </c>
      <c r="AD111" s="4" t="n">
        <f aca="false">IF(Y111=$E111,1,0)</f>
        <v>0</v>
      </c>
      <c r="AE111" s="4" t="n">
        <f aca="false">IF(OR(Y111=$E111,AA111=$E111,AB111=$E111),1,0)</f>
        <v>1</v>
      </c>
      <c r="AF111" s="4" t="n">
        <v>2</v>
      </c>
      <c r="AG111" s="9" t="n">
        <f aca="false">-LN(MAX(AC111,0.0001))</f>
        <v>1.58630749504525</v>
      </c>
    </row>
    <row r="112" customFormat="false" ht="15" hidden="false" customHeight="false" outlineLevel="0" collapsed="false">
      <c r="A112" s="4" t="n">
        <v>2021</v>
      </c>
      <c r="B112" s="4" t="n">
        <v>11</v>
      </c>
      <c r="C112" s="4" t="s">
        <v>124</v>
      </c>
      <c r="D112" s="4" t="s">
        <v>105</v>
      </c>
      <c r="E112" s="4" t="s">
        <v>137</v>
      </c>
      <c r="F112" s="4" t="n">
        <v>8</v>
      </c>
      <c r="G112" s="4" t="s">
        <v>107</v>
      </c>
      <c r="H112" s="5" t="n">
        <v>0.53906</v>
      </c>
      <c r="I112" s="4" t="s">
        <v>114</v>
      </c>
      <c r="J112" s="4" t="s">
        <v>116</v>
      </c>
      <c r="K112" s="5" t="n">
        <v>0.0032</v>
      </c>
      <c r="L112" s="4" t="n">
        <f aca="false">IF(G112=$E112,1,0)</f>
        <v>0</v>
      </c>
      <c r="M112" s="4" t="n">
        <f aca="false">IF(OR(G112=$E112,I112=$E112,J112=$E112),1,0)</f>
        <v>0</v>
      </c>
      <c r="N112" s="4" t="n">
        <v>1</v>
      </c>
      <c r="O112" s="9" t="n">
        <f aca="false">-LN(MAX(K112,0.0001))</f>
        <v>5.74460446917646</v>
      </c>
      <c r="P112" s="4" t="s">
        <v>107</v>
      </c>
      <c r="Q112" s="5" t="n">
        <v>0.31798</v>
      </c>
      <c r="R112" s="4" t="s">
        <v>116</v>
      </c>
      <c r="S112" s="4" t="s">
        <v>114</v>
      </c>
      <c r="T112" s="5" t="n">
        <v>0.00368</v>
      </c>
      <c r="U112" s="4" t="n">
        <f aca="false">IF(P112=$E112,1,0)</f>
        <v>0</v>
      </c>
      <c r="V112" s="4" t="n">
        <f aca="false">IF(OR(P112=$E112,R112=$E112,S112=$E112),1,0)</f>
        <v>0</v>
      </c>
      <c r="W112" s="4" t="n">
        <v>1</v>
      </c>
      <c r="X112" s="9" t="n">
        <f aca="false">-LN(MAX(T112,0.0001))</f>
        <v>5.6048425268013</v>
      </c>
      <c r="Y112" s="4" t="s">
        <v>107</v>
      </c>
      <c r="Z112" s="5" t="n">
        <v>0.53638</v>
      </c>
      <c r="AA112" s="4" t="s">
        <v>114</v>
      </c>
      <c r="AB112" s="4" t="s">
        <v>116</v>
      </c>
      <c r="AC112" s="5" t="n">
        <v>0.01084</v>
      </c>
      <c r="AD112" s="4" t="n">
        <f aca="false">IF(Y112=$E112,1,0)</f>
        <v>0</v>
      </c>
      <c r="AE112" s="4" t="n">
        <f aca="false">IF(OR(Y112=$E112,AA112=$E112,AB112=$E112),1,0)</f>
        <v>0</v>
      </c>
      <c r="AF112" s="4" t="n">
        <v>1</v>
      </c>
      <c r="AG112" s="9" t="n">
        <f aca="false">-LN(MAX(AC112,0.0001))</f>
        <v>4.52451228297064</v>
      </c>
    </row>
    <row r="113" customFormat="false" ht="15" hidden="false" customHeight="false" outlineLevel="0" collapsed="false">
      <c r="A113" s="4" t="n">
        <v>2021</v>
      </c>
      <c r="B113" s="4" t="n">
        <v>12</v>
      </c>
      <c r="C113" s="4" t="s">
        <v>126</v>
      </c>
      <c r="D113" s="4" t="s">
        <v>105</v>
      </c>
      <c r="E113" s="4" t="s">
        <v>116</v>
      </c>
      <c r="F113" s="4" t="n">
        <v>1</v>
      </c>
      <c r="G113" s="4" t="s">
        <v>107</v>
      </c>
      <c r="H113" s="5" t="n">
        <v>0.36172</v>
      </c>
      <c r="I113" s="4" t="s">
        <v>116</v>
      </c>
      <c r="J113" s="4" t="s">
        <v>112</v>
      </c>
      <c r="K113" s="5" t="n">
        <v>0.33326</v>
      </c>
      <c r="L113" s="4" t="n">
        <f aca="false">IF(G113=$E113,1,0)</f>
        <v>0</v>
      </c>
      <c r="M113" s="4" t="n">
        <f aca="false">IF(OR(G113=$E113,I113=$E113,J113=$E113),1,0)</f>
        <v>1</v>
      </c>
      <c r="N113" s="4" t="n">
        <v>2</v>
      </c>
      <c r="O113" s="9" t="n">
        <f aca="false">-LN(MAX(K113,0.0001))</f>
        <v>1.09883231287166</v>
      </c>
      <c r="P113" s="4" t="s">
        <v>107</v>
      </c>
      <c r="Q113" s="5" t="n">
        <v>0.42948</v>
      </c>
      <c r="R113" s="4" t="s">
        <v>116</v>
      </c>
      <c r="S113" s="4" t="s">
        <v>114</v>
      </c>
      <c r="T113" s="5" t="n">
        <v>0.2185</v>
      </c>
      <c r="U113" s="4" t="n">
        <f aca="false">IF(P113=$E113,1,0)</f>
        <v>0</v>
      </c>
      <c r="V113" s="4" t="n">
        <f aca="false">IF(OR(P113=$E113,R113=$E113,S113=$E113),1,0)</f>
        <v>1</v>
      </c>
      <c r="W113" s="4" t="n">
        <v>2</v>
      </c>
      <c r="X113" s="9" t="n">
        <f aca="false">-LN(MAX(T113,0.0001))</f>
        <v>1.52096926444649</v>
      </c>
      <c r="Y113" s="4" t="s">
        <v>116</v>
      </c>
      <c r="Z113" s="5" t="n">
        <v>0.52664</v>
      </c>
      <c r="AA113" s="4" t="s">
        <v>152</v>
      </c>
      <c r="AB113" s="4" t="s">
        <v>107</v>
      </c>
      <c r="AC113" s="5" t="n">
        <v>0.52664</v>
      </c>
      <c r="AD113" s="4" t="n">
        <f aca="false">IF(Y113=$E113,1,0)</f>
        <v>1</v>
      </c>
      <c r="AE113" s="4" t="n">
        <f aca="false">IF(OR(Y113=$E113,AA113=$E113,AB113=$E113),1,0)</f>
        <v>1</v>
      </c>
      <c r="AF113" s="4" t="n">
        <v>3</v>
      </c>
      <c r="AG113" s="9" t="n">
        <f aca="false">-LN(MAX(AC113,0.0001))</f>
        <v>0.641238075822516</v>
      </c>
    </row>
    <row r="114" customFormat="false" ht="15" hidden="false" customHeight="false" outlineLevel="0" collapsed="false">
      <c r="A114" s="4" t="n">
        <v>2021</v>
      </c>
      <c r="B114" s="4" t="n">
        <v>13</v>
      </c>
      <c r="C114" s="4" t="s">
        <v>154</v>
      </c>
      <c r="D114" s="4" t="s">
        <v>105</v>
      </c>
      <c r="E114" s="4" t="s">
        <v>116</v>
      </c>
      <c r="F114" s="4" t="n">
        <v>1</v>
      </c>
      <c r="G114" s="4" t="s">
        <v>116</v>
      </c>
      <c r="H114" s="5" t="n">
        <v>0.47818</v>
      </c>
      <c r="I114" s="4" t="s">
        <v>107</v>
      </c>
      <c r="J114" s="4" t="s">
        <v>114</v>
      </c>
      <c r="K114" s="5" t="n">
        <v>0.47818</v>
      </c>
      <c r="L114" s="4" t="n">
        <f aca="false">IF(G114=$E114,1,0)</f>
        <v>1</v>
      </c>
      <c r="M114" s="4" t="n">
        <f aca="false">IF(OR(G114=$E114,I114=$E114,J114=$E114),1,0)</f>
        <v>1</v>
      </c>
      <c r="N114" s="4" t="n">
        <v>3</v>
      </c>
      <c r="O114" s="9" t="n">
        <f aca="false">-LN(MAX(K114,0.0001))</f>
        <v>0.73776804833735</v>
      </c>
      <c r="P114" s="4" t="s">
        <v>107</v>
      </c>
      <c r="Q114" s="5" t="n">
        <v>0.42682</v>
      </c>
      <c r="R114" s="4" t="s">
        <v>116</v>
      </c>
      <c r="S114" s="4" t="s">
        <v>114</v>
      </c>
      <c r="T114" s="5" t="n">
        <v>0.31086</v>
      </c>
      <c r="U114" s="4" t="n">
        <f aca="false">IF(P114=$E114,1,0)</f>
        <v>0</v>
      </c>
      <c r="V114" s="4" t="n">
        <f aca="false">IF(OR(P114=$E114,R114=$E114,S114=$E114),1,0)</f>
        <v>1</v>
      </c>
      <c r="W114" s="4" t="n">
        <v>3</v>
      </c>
      <c r="X114" s="9" t="n">
        <f aca="false">-LN(MAX(T114,0.0001))</f>
        <v>1.16841262892739</v>
      </c>
      <c r="Y114" s="4" t="s">
        <v>116</v>
      </c>
      <c r="Z114" s="5" t="n">
        <v>0.5058</v>
      </c>
      <c r="AA114" s="4" t="s">
        <v>107</v>
      </c>
      <c r="AB114" s="4" t="s">
        <v>114</v>
      </c>
      <c r="AC114" s="5" t="n">
        <v>0.5058</v>
      </c>
      <c r="AD114" s="4" t="n">
        <f aca="false">IF(Y114=$E114,1,0)</f>
        <v>1</v>
      </c>
      <c r="AE114" s="4" t="n">
        <f aca="false">IF(OR(Y114=$E114,AA114=$E114,AB114=$E114),1,0)</f>
        <v>1</v>
      </c>
      <c r="AF114" s="4" t="n">
        <v>3</v>
      </c>
      <c r="AG114" s="9" t="n">
        <f aca="false">-LN(MAX(AC114,0.0001))</f>
        <v>0.681613944746272</v>
      </c>
    </row>
    <row r="115" customFormat="false" ht="15" hidden="false" customHeight="false" outlineLevel="0" collapsed="false">
      <c r="A115" s="4" t="n">
        <v>2021</v>
      </c>
      <c r="B115" s="4" t="n">
        <v>14</v>
      </c>
      <c r="C115" s="4" t="s">
        <v>127</v>
      </c>
      <c r="D115" s="4" t="s">
        <v>105</v>
      </c>
      <c r="E115" s="4" t="s">
        <v>112</v>
      </c>
      <c r="F115" s="4" t="n">
        <v>2</v>
      </c>
      <c r="G115" s="4" t="s">
        <v>116</v>
      </c>
      <c r="H115" s="5" t="n">
        <v>0.63236</v>
      </c>
      <c r="I115" s="4" t="s">
        <v>107</v>
      </c>
      <c r="J115" s="4" t="s">
        <v>112</v>
      </c>
      <c r="K115" s="5" t="n">
        <v>0.0801</v>
      </c>
      <c r="L115" s="4" t="n">
        <f aca="false">IF(G115=$E115,1,0)</f>
        <v>0</v>
      </c>
      <c r="M115" s="4" t="n">
        <f aca="false">IF(OR(G115=$E115,I115=$E115,J115=$E115),1,0)</f>
        <v>1</v>
      </c>
      <c r="N115" s="4" t="n">
        <v>1</v>
      </c>
      <c r="O115" s="9" t="n">
        <f aca="false">-LN(MAX(K115,0.0001))</f>
        <v>2.52447942490782</v>
      </c>
      <c r="P115" s="4" t="s">
        <v>107</v>
      </c>
      <c r="Q115" s="5" t="n">
        <v>0.39988</v>
      </c>
      <c r="R115" s="4" t="s">
        <v>116</v>
      </c>
      <c r="S115" s="4" t="s">
        <v>114</v>
      </c>
      <c r="T115" s="5" t="n">
        <v>0.01568</v>
      </c>
      <c r="U115" s="4" t="n">
        <f aca="false">IF(P115=$E115,1,0)</f>
        <v>0</v>
      </c>
      <c r="V115" s="4" t="n">
        <f aca="false">IF(OR(P115=$E115,R115=$E115,S115=$E115),1,0)</f>
        <v>0</v>
      </c>
      <c r="W115" s="4" t="n">
        <v>1</v>
      </c>
      <c r="X115" s="9" t="n">
        <f aca="false">-LN(MAX(T115,0.0001))</f>
        <v>4.15536926405988</v>
      </c>
      <c r="Y115" s="4" t="s">
        <v>116</v>
      </c>
      <c r="Z115" s="5" t="n">
        <v>0.50304</v>
      </c>
      <c r="AA115" s="4" t="s">
        <v>112</v>
      </c>
      <c r="AB115" s="4" t="s">
        <v>140</v>
      </c>
      <c r="AC115" s="5" t="n">
        <v>0.21606</v>
      </c>
      <c r="AD115" s="4" t="n">
        <f aca="false">IF(Y115=$E115,1,0)</f>
        <v>0</v>
      </c>
      <c r="AE115" s="4" t="n">
        <f aca="false">IF(OR(Y115=$E115,AA115=$E115,AB115=$E115),1,0)</f>
        <v>1</v>
      </c>
      <c r="AF115" s="4" t="n">
        <v>2</v>
      </c>
      <c r="AG115" s="9" t="n">
        <f aca="false">-LN(MAX(AC115,0.0001))</f>
        <v>1.5321991320933</v>
      </c>
    </row>
    <row r="116" customFormat="false" ht="15" hidden="false" customHeight="false" outlineLevel="0" collapsed="false">
      <c r="A116" s="4" t="n">
        <v>2021</v>
      </c>
      <c r="B116" s="4" t="n">
        <v>15</v>
      </c>
      <c r="C116" s="4" t="s">
        <v>113</v>
      </c>
      <c r="D116" s="4" t="s">
        <v>105</v>
      </c>
      <c r="E116" s="4" t="s">
        <v>107</v>
      </c>
      <c r="F116" s="4" t="n">
        <v>4</v>
      </c>
      <c r="G116" s="4" t="s">
        <v>140</v>
      </c>
      <c r="H116" s="5" t="n">
        <v>0.55252</v>
      </c>
      <c r="I116" s="4" t="s">
        <v>142</v>
      </c>
      <c r="J116" s="4" t="s">
        <v>107</v>
      </c>
      <c r="K116" s="5" t="n">
        <v>0.1255</v>
      </c>
      <c r="L116" s="4" t="n">
        <f aca="false">IF(G116=$E116,1,0)</f>
        <v>0</v>
      </c>
      <c r="M116" s="4" t="n">
        <f aca="false">IF(OR(G116=$E116,I116=$E116,J116=$E116),1,0)</f>
        <v>1</v>
      </c>
      <c r="N116" s="4" t="n">
        <v>2</v>
      </c>
      <c r="O116" s="9" t="n">
        <f aca="false">-LN(MAX(K116,0.0001))</f>
        <v>2.0754495204103</v>
      </c>
      <c r="P116" s="4" t="s">
        <v>107</v>
      </c>
      <c r="Q116" s="5" t="n">
        <v>0.36744</v>
      </c>
      <c r="R116" s="4" t="s">
        <v>116</v>
      </c>
      <c r="S116" s="4" t="s">
        <v>114</v>
      </c>
      <c r="T116" s="5" t="n">
        <v>0.36744</v>
      </c>
      <c r="U116" s="4" t="n">
        <f aca="false">IF(P116=$E116,1,0)</f>
        <v>1</v>
      </c>
      <c r="V116" s="4" t="n">
        <f aca="false">IF(OR(P116=$E116,R116=$E116,S116=$E116),1,0)</f>
        <v>1</v>
      </c>
      <c r="W116" s="4" t="n">
        <v>2</v>
      </c>
      <c r="X116" s="9" t="n">
        <f aca="false">-LN(MAX(T116,0.0001))</f>
        <v>1.0011952389646</v>
      </c>
      <c r="Y116" s="4" t="s">
        <v>140</v>
      </c>
      <c r="Z116" s="5" t="n">
        <v>0.55878</v>
      </c>
      <c r="AA116" s="4" t="s">
        <v>142</v>
      </c>
      <c r="AB116" s="4" t="s">
        <v>152</v>
      </c>
      <c r="AC116" s="5" t="n">
        <v>0.04542</v>
      </c>
      <c r="AD116" s="4" t="n">
        <f aca="false">IF(Y116=$E116,1,0)</f>
        <v>0</v>
      </c>
      <c r="AE116" s="4" t="n">
        <f aca="false">IF(OR(Y116=$E116,AA116=$E116,AB116=$E116),1,0)</f>
        <v>0</v>
      </c>
      <c r="AF116" s="4" t="n">
        <v>1</v>
      </c>
      <c r="AG116" s="9" t="n">
        <f aca="false">-LN(MAX(AC116,0.0001))</f>
        <v>3.09180274230472</v>
      </c>
    </row>
    <row r="117" customFormat="false" ht="15" hidden="false" customHeight="false" outlineLevel="0" collapsed="false">
      <c r="A117" s="4" t="n">
        <v>2021</v>
      </c>
      <c r="B117" s="4" t="n">
        <v>16</v>
      </c>
      <c r="C117" s="4" t="s">
        <v>150</v>
      </c>
      <c r="D117" s="4" t="s">
        <v>105</v>
      </c>
      <c r="E117" s="4" t="s">
        <v>114</v>
      </c>
      <c r="F117" s="4" t="n">
        <v>1</v>
      </c>
      <c r="G117" s="4" t="s">
        <v>114</v>
      </c>
      <c r="H117" s="5" t="n">
        <v>0.64558</v>
      </c>
      <c r="I117" s="4" t="s">
        <v>116</v>
      </c>
      <c r="J117" s="4" t="s">
        <v>107</v>
      </c>
      <c r="K117" s="5" t="n">
        <v>0.64558</v>
      </c>
      <c r="L117" s="4" t="n">
        <f aca="false">IF(G117=$E117,1,0)</f>
        <v>1</v>
      </c>
      <c r="M117" s="4" t="n">
        <f aca="false">IF(OR(G117=$E117,I117=$E117,J117=$E117),1,0)</f>
        <v>1</v>
      </c>
      <c r="N117" s="4" t="n">
        <v>2</v>
      </c>
      <c r="O117" s="9" t="n">
        <f aca="false">-LN(MAX(K117,0.0001))</f>
        <v>0.43760614144058</v>
      </c>
      <c r="P117" s="4" t="s">
        <v>107</v>
      </c>
      <c r="Q117" s="5" t="n">
        <v>0.4064</v>
      </c>
      <c r="R117" s="4" t="s">
        <v>116</v>
      </c>
      <c r="S117" s="4" t="s">
        <v>114</v>
      </c>
      <c r="T117" s="5" t="n">
        <v>0.1694</v>
      </c>
      <c r="U117" s="4" t="n">
        <f aca="false">IF(P117=$E117,1,0)</f>
        <v>0</v>
      </c>
      <c r="V117" s="4" t="n">
        <f aca="false">IF(OR(P117=$E117,R117=$E117,S117=$E117),1,0)</f>
        <v>1</v>
      </c>
      <c r="W117" s="4" t="n">
        <v>2</v>
      </c>
      <c r="X117" s="9" t="n">
        <f aca="false">-LN(MAX(T117,0.0001))</f>
        <v>1.77549249676418</v>
      </c>
      <c r="Y117" s="4" t="s">
        <v>114</v>
      </c>
      <c r="Z117" s="5" t="n">
        <v>0.51134</v>
      </c>
      <c r="AA117" s="4" t="s">
        <v>116</v>
      </c>
      <c r="AB117" s="4" t="s">
        <v>139</v>
      </c>
      <c r="AC117" s="5" t="n">
        <v>0.51134</v>
      </c>
      <c r="AD117" s="4" t="n">
        <f aca="false">IF(Y117=$E117,1,0)</f>
        <v>1</v>
      </c>
      <c r="AE117" s="4" t="n">
        <f aca="false">IF(OR(Y117=$E117,AA117=$E117,AB117=$E117),1,0)</f>
        <v>1</v>
      </c>
      <c r="AF117" s="4" t="n">
        <v>2</v>
      </c>
      <c r="AG117" s="9" t="n">
        <f aca="false">-LN(MAX(AC117,0.0001))</f>
        <v>0.670720547998389</v>
      </c>
    </row>
    <row r="118" customFormat="false" ht="15" hidden="false" customHeight="false" outlineLevel="0" collapsed="false">
      <c r="A118" s="4" t="n">
        <v>2021</v>
      </c>
      <c r="B118" s="4" t="n">
        <v>17</v>
      </c>
      <c r="C118" s="4" t="s">
        <v>131</v>
      </c>
      <c r="D118" s="4" t="s">
        <v>105</v>
      </c>
      <c r="E118" s="4" t="s">
        <v>116</v>
      </c>
      <c r="F118" s="4" t="n">
        <v>1</v>
      </c>
      <c r="G118" s="4" t="s">
        <v>116</v>
      </c>
      <c r="H118" s="5" t="n">
        <v>0.39628</v>
      </c>
      <c r="I118" s="4" t="s">
        <v>107</v>
      </c>
      <c r="J118" s="4" t="s">
        <v>114</v>
      </c>
      <c r="K118" s="5" t="n">
        <v>0.39628</v>
      </c>
      <c r="L118" s="4" t="n">
        <f aca="false">IF(G118=$E118,1,0)</f>
        <v>1</v>
      </c>
      <c r="M118" s="4" t="n">
        <f aca="false">IF(OR(G118=$E118,I118=$E118,J118=$E118),1,0)</f>
        <v>1</v>
      </c>
      <c r="N118" s="4" t="n">
        <v>2</v>
      </c>
      <c r="O118" s="9" t="n">
        <f aca="false">-LN(MAX(K118,0.0001))</f>
        <v>0.925634246877308</v>
      </c>
      <c r="P118" s="4" t="s">
        <v>107</v>
      </c>
      <c r="Q118" s="5" t="n">
        <v>0.37584</v>
      </c>
      <c r="R118" s="4" t="s">
        <v>116</v>
      </c>
      <c r="S118" s="4" t="s">
        <v>114</v>
      </c>
      <c r="T118" s="5" t="n">
        <v>0.26184</v>
      </c>
      <c r="U118" s="4" t="n">
        <f aca="false">IF(P118=$E118,1,0)</f>
        <v>0</v>
      </c>
      <c r="V118" s="4" t="n">
        <f aca="false">IF(OR(P118=$E118,R118=$E118,S118=$E118),1,0)</f>
        <v>1</v>
      </c>
      <c r="W118" s="4" t="n">
        <v>2</v>
      </c>
      <c r="X118" s="9" t="n">
        <f aca="false">-LN(MAX(T118,0.0001))</f>
        <v>1.34002164878921</v>
      </c>
      <c r="Y118" s="4" t="s">
        <v>116</v>
      </c>
      <c r="Z118" s="5" t="n">
        <v>0.51216</v>
      </c>
      <c r="AA118" s="4" t="s">
        <v>107</v>
      </c>
      <c r="AB118" s="4" t="s">
        <v>143</v>
      </c>
      <c r="AC118" s="5" t="n">
        <v>0.51216</v>
      </c>
      <c r="AD118" s="4" t="n">
        <f aca="false">IF(Y118=$E118,1,0)</f>
        <v>1</v>
      </c>
      <c r="AE118" s="4" t="n">
        <f aca="false">IF(OR(Y118=$E118,AA118=$E118,AB118=$E118),1,0)</f>
        <v>1</v>
      </c>
      <c r="AF118" s="4" t="n">
        <v>3</v>
      </c>
      <c r="AG118" s="9" t="n">
        <f aca="false">-LN(MAX(AC118,0.0001))</f>
        <v>0.669118202760584</v>
      </c>
    </row>
    <row r="119" customFormat="false" ht="15" hidden="false" customHeight="false" outlineLevel="0" collapsed="false">
      <c r="A119" s="4" t="n">
        <v>2021</v>
      </c>
      <c r="B119" s="4" t="n">
        <v>18</v>
      </c>
      <c r="C119" s="4" t="s">
        <v>155</v>
      </c>
      <c r="D119" s="4" t="s">
        <v>105</v>
      </c>
      <c r="E119" s="4" t="s">
        <v>116</v>
      </c>
      <c r="F119" s="4" t="n">
        <v>3</v>
      </c>
      <c r="G119" s="4" t="s">
        <v>114</v>
      </c>
      <c r="H119" s="5" t="n">
        <v>0.5312</v>
      </c>
      <c r="I119" s="4" t="s">
        <v>107</v>
      </c>
      <c r="J119" s="4" t="s">
        <v>116</v>
      </c>
      <c r="K119" s="5" t="n">
        <v>0.10922</v>
      </c>
      <c r="L119" s="4" t="n">
        <f aca="false">IF(G119=$E119,1,0)</f>
        <v>0</v>
      </c>
      <c r="M119" s="4" t="n">
        <f aca="false">IF(OR(G119=$E119,I119=$E119,J119=$E119),1,0)</f>
        <v>1</v>
      </c>
      <c r="N119" s="4" t="n">
        <v>2</v>
      </c>
      <c r="O119" s="9" t="n">
        <f aca="false">-LN(MAX(K119,0.0001))</f>
        <v>2.21439108225813</v>
      </c>
      <c r="P119" s="4" t="s">
        <v>107</v>
      </c>
      <c r="Q119" s="5" t="n">
        <v>0.37054</v>
      </c>
      <c r="R119" s="4" t="s">
        <v>116</v>
      </c>
      <c r="S119" s="4" t="s">
        <v>114</v>
      </c>
      <c r="T119" s="5" t="n">
        <v>0.31804</v>
      </c>
      <c r="U119" s="4" t="n">
        <f aca="false">IF(P119=$E119,1,0)</f>
        <v>0</v>
      </c>
      <c r="V119" s="4" t="n">
        <f aca="false">IF(OR(P119=$E119,R119=$E119,S119=$E119),1,0)</f>
        <v>1</v>
      </c>
      <c r="W119" s="4" t="n">
        <v>2</v>
      </c>
      <c r="X119" s="9" t="n">
        <f aca="false">-LN(MAX(T119,0.0001))</f>
        <v>1.14557811794885</v>
      </c>
      <c r="Y119" s="4" t="s">
        <v>114</v>
      </c>
      <c r="Z119" s="5" t="n">
        <v>0.5289</v>
      </c>
      <c r="AA119" s="4" t="s">
        <v>107</v>
      </c>
      <c r="AB119" s="4" t="s">
        <v>116</v>
      </c>
      <c r="AC119" s="5" t="n">
        <v>0.0872</v>
      </c>
      <c r="AD119" s="4" t="n">
        <f aca="false">IF(Y119=$E119,1,0)</f>
        <v>0</v>
      </c>
      <c r="AE119" s="4" t="n">
        <f aca="false">IF(OR(Y119=$E119,AA119=$E119,AB119=$E119),1,0)</f>
        <v>1</v>
      </c>
      <c r="AF119" s="4" t="n">
        <v>2</v>
      </c>
      <c r="AG119" s="9" t="n">
        <f aca="false">-LN(MAX(AC119,0.0001))</f>
        <v>2.4395509480672</v>
      </c>
    </row>
    <row r="120" customFormat="false" ht="15" hidden="false" customHeight="false" outlineLevel="0" collapsed="false">
      <c r="A120" s="4" t="n">
        <v>2021</v>
      </c>
      <c r="B120" s="4" t="n">
        <v>19</v>
      </c>
      <c r="C120" s="4" t="s">
        <v>156</v>
      </c>
      <c r="D120" s="4" t="s">
        <v>105</v>
      </c>
      <c r="E120" s="4" t="s">
        <v>107</v>
      </c>
      <c r="F120" s="4" t="n">
        <v>10</v>
      </c>
      <c r="G120" s="4" t="s">
        <v>114</v>
      </c>
      <c r="H120" s="5" t="n">
        <v>0.44944</v>
      </c>
      <c r="I120" s="4" t="s">
        <v>116</v>
      </c>
      <c r="J120" s="4" t="s">
        <v>143</v>
      </c>
      <c r="K120" s="5" t="n">
        <v>0.07492</v>
      </c>
      <c r="L120" s="4" t="n">
        <f aca="false">IF(G120=$E120,1,0)</f>
        <v>0</v>
      </c>
      <c r="M120" s="4" t="n">
        <f aca="false">IF(OR(G120=$E120,I120=$E120,J120=$E120),1,0)</f>
        <v>0</v>
      </c>
      <c r="N120" s="4" t="n">
        <v>3</v>
      </c>
      <c r="O120" s="9" t="n">
        <f aca="false">-LN(MAX(K120,0.0001))</f>
        <v>2.59133440140625</v>
      </c>
      <c r="P120" s="4" t="s">
        <v>107</v>
      </c>
      <c r="Q120" s="5" t="n">
        <v>0.40912</v>
      </c>
      <c r="R120" s="4" t="s">
        <v>116</v>
      </c>
      <c r="S120" s="4" t="s">
        <v>114</v>
      </c>
      <c r="T120" s="5" t="n">
        <v>0.40912</v>
      </c>
      <c r="U120" s="4" t="n">
        <f aca="false">IF(P120=$E120,1,0)</f>
        <v>1</v>
      </c>
      <c r="V120" s="4" t="n">
        <f aca="false">IF(OR(P120=$E120,R120=$E120,S120=$E120),1,0)</f>
        <v>1</v>
      </c>
      <c r="W120" s="4" t="n">
        <v>3</v>
      </c>
      <c r="X120" s="9" t="n">
        <f aca="false">-LN(MAX(T120,0.0001))</f>
        <v>0.893746767439261</v>
      </c>
      <c r="Y120" s="4" t="s">
        <v>114</v>
      </c>
      <c r="Z120" s="5" t="n">
        <v>0.5265</v>
      </c>
      <c r="AA120" s="4" t="s">
        <v>116</v>
      </c>
      <c r="AB120" s="4" t="s">
        <v>142</v>
      </c>
      <c r="AC120" s="5" t="n">
        <v>0.00818</v>
      </c>
      <c r="AD120" s="4" t="n">
        <f aca="false">IF(Y120=$E120,1,0)</f>
        <v>0</v>
      </c>
      <c r="AE120" s="4" t="n">
        <f aca="false">IF(OR(Y120=$E120,AA120=$E120,AB120=$E120),1,0)</f>
        <v>0</v>
      </c>
      <c r="AF120" s="4" t="n">
        <v>2</v>
      </c>
      <c r="AG120" s="9" t="n">
        <f aca="false">-LN(MAX(AC120,0.0001))</f>
        <v>4.80606312836748</v>
      </c>
    </row>
    <row r="121" customFormat="false" ht="15" hidden="false" customHeight="false" outlineLevel="0" collapsed="false">
      <c r="A121" s="4" t="n">
        <v>2021</v>
      </c>
      <c r="B121" s="4" t="n">
        <v>20</v>
      </c>
      <c r="C121" s="4" t="s">
        <v>157</v>
      </c>
      <c r="D121" s="4" t="s">
        <v>105</v>
      </c>
      <c r="E121" s="4" t="s">
        <v>107</v>
      </c>
      <c r="F121" s="4" t="n">
        <v>1</v>
      </c>
      <c r="G121" s="4" t="s">
        <v>107</v>
      </c>
      <c r="H121" s="5" t="n">
        <v>0.73052</v>
      </c>
      <c r="I121" s="4" t="s">
        <v>116</v>
      </c>
      <c r="J121" s="4" t="s">
        <v>114</v>
      </c>
      <c r="K121" s="5" t="n">
        <v>0.73052</v>
      </c>
      <c r="L121" s="4" t="n">
        <f aca="false">IF(G121=$E121,1,0)</f>
        <v>1</v>
      </c>
      <c r="M121" s="4" t="n">
        <f aca="false">IF(OR(G121=$E121,I121=$E121,J121=$E121),1,0)</f>
        <v>1</v>
      </c>
      <c r="N121" s="4" t="n">
        <v>2</v>
      </c>
      <c r="O121" s="9" t="n">
        <f aca="false">-LN(MAX(K121,0.0001))</f>
        <v>0.313998669658296</v>
      </c>
      <c r="P121" s="4" t="s">
        <v>107</v>
      </c>
      <c r="Q121" s="5" t="n">
        <v>0.42758</v>
      </c>
      <c r="R121" s="4" t="s">
        <v>116</v>
      </c>
      <c r="S121" s="4" t="s">
        <v>114</v>
      </c>
      <c r="T121" s="5" t="n">
        <v>0.42758</v>
      </c>
      <c r="U121" s="4" t="n">
        <f aca="false">IF(P121=$E121,1,0)</f>
        <v>1</v>
      </c>
      <c r="V121" s="4" t="n">
        <f aca="false">IF(OR(P121=$E121,R121=$E121,S121=$E121),1,0)</f>
        <v>1</v>
      </c>
      <c r="W121" s="4" t="n">
        <v>2</v>
      </c>
      <c r="X121" s="9" t="n">
        <f aca="false">-LN(MAX(T121,0.0001))</f>
        <v>0.849613873609875</v>
      </c>
      <c r="Y121" s="4" t="s">
        <v>107</v>
      </c>
      <c r="Z121" s="5" t="n">
        <v>0.53192</v>
      </c>
      <c r="AA121" s="4" t="s">
        <v>145</v>
      </c>
      <c r="AB121" s="4" t="s">
        <v>158</v>
      </c>
      <c r="AC121" s="5" t="n">
        <v>0.53192</v>
      </c>
      <c r="AD121" s="4" t="n">
        <f aca="false">IF(Y121=$E121,1,0)</f>
        <v>1</v>
      </c>
      <c r="AE121" s="4" t="n">
        <f aca="false">IF(OR(Y121=$E121,AA121=$E121,AB121=$E121),1,0)</f>
        <v>1</v>
      </c>
      <c r="AF121" s="4" t="n">
        <v>2</v>
      </c>
      <c r="AG121" s="9" t="n">
        <f aca="false">-LN(MAX(AC121,0.0001))</f>
        <v>0.631262176887938</v>
      </c>
    </row>
    <row r="122" customFormat="false" ht="15" hidden="false" customHeight="false" outlineLevel="0" collapsed="false">
      <c r="A122" s="4" t="n">
        <v>2021</v>
      </c>
      <c r="B122" s="4" t="n">
        <v>21</v>
      </c>
      <c r="C122" s="4" t="s">
        <v>159</v>
      </c>
      <c r="D122" s="4" t="s">
        <v>105</v>
      </c>
      <c r="E122" s="4" t="s">
        <v>107</v>
      </c>
      <c r="F122" s="4" t="n">
        <v>1</v>
      </c>
      <c r="G122" s="4" t="s">
        <v>107</v>
      </c>
      <c r="H122" s="5" t="n">
        <v>0.68582</v>
      </c>
      <c r="I122" s="4" t="s">
        <v>116</v>
      </c>
      <c r="J122" s="4" t="s">
        <v>114</v>
      </c>
      <c r="K122" s="5" t="n">
        <v>0.68582</v>
      </c>
      <c r="L122" s="4" t="n">
        <f aca="false">IF(G122=$E122,1,0)</f>
        <v>1</v>
      </c>
      <c r="M122" s="4" t="n">
        <f aca="false">IF(OR(G122=$E122,I122=$E122,J122=$E122),1,0)</f>
        <v>1</v>
      </c>
      <c r="N122" s="4" t="n">
        <v>3</v>
      </c>
      <c r="O122" s="9" t="n">
        <f aca="false">-LN(MAX(K122,0.0001))</f>
        <v>0.377140076357261</v>
      </c>
      <c r="P122" s="4" t="s">
        <v>107</v>
      </c>
      <c r="Q122" s="5" t="n">
        <v>0.5107</v>
      </c>
      <c r="R122" s="4" t="s">
        <v>116</v>
      </c>
      <c r="S122" s="4" t="s">
        <v>114</v>
      </c>
      <c r="T122" s="5" t="n">
        <v>0.5107</v>
      </c>
      <c r="U122" s="4" t="n">
        <f aca="false">IF(P122=$E122,1,0)</f>
        <v>1</v>
      </c>
      <c r="V122" s="4" t="n">
        <f aca="false">IF(OR(P122=$E122,R122=$E122,S122=$E122),1,0)</f>
        <v>1</v>
      </c>
      <c r="W122" s="4" t="n">
        <v>3</v>
      </c>
      <c r="X122" s="9" t="n">
        <f aca="false">-LN(MAX(T122,0.0001))</f>
        <v>0.671972945328539</v>
      </c>
      <c r="Y122" s="4" t="s">
        <v>107</v>
      </c>
      <c r="Z122" s="5" t="n">
        <v>0.52</v>
      </c>
      <c r="AA122" s="4" t="s">
        <v>114</v>
      </c>
      <c r="AB122" s="4" t="s">
        <v>116</v>
      </c>
      <c r="AC122" s="5" t="n">
        <v>0.52</v>
      </c>
      <c r="AD122" s="4" t="n">
        <f aca="false">IF(Y122=$E122,1,0)</f>
        <v>1</v>
      </c>
      <c r="AE122" s="4" t="n">
        <f aca="false">IF(OR(Y122=$E122,AA122=$E122,AB122=$E122),1,0)</f>
        <v>1</v>
      </c>
      <c r="AF122" s="4" t="n">
        <v>3</v>
      </c>
      <c r="AG122" s="9" t="n">
        <f aca="false">-LN(MAX(AC122,0.0001))</f>
        <v>0.653926467406664</v>
      </c>
    </row>
    <row r="123" customFormat="false" ht="15" hidden="false" customHeight="false" outlineLevel="0" collapsed="false">
      <c r="A123" s="4" t="n">
        <v>2021</v>
      </c>
      <c r="B123" s="4" t="n">
        <v>22</v>
      </c>
      <c r="C123" s="4" t="s">
        <v>134</v>
      </c>
      <c r="D123" s="4" t="s">
        <v>105</v>
      </c>
      <c r="E123" s="4" t="s">
        <v>116</v>
      </c>
      <c r="F123" s="4" t="n">
        <v>1</v>
      </c>
      <c r="G123" s="4" t="s">
        <v>116</v>
      </c>
      <c r="H123" s="5" t="n">
        <v>0.57632</v>
      </c>
      <c r="I123" s="4" t="s">
        <v>107</v>
      </c>
      <c r="J123" s="4" t="s">
        <v>143</v>
      </c>
      <c r="K123" s="5" t="n">
        <v>0.57632</v>
      </c>
      <c r="L123" s="4" t="n">
        <f aca="false">IF(G123=$E123,1,0)</f>
        <v>1</v>
      </c>
      <c r="M123" s="4" t="n">
        <f aca="false">IF(OR(G123=$E123,I123=$E123,J123=$E123),1,0)</f>
        <v>1</v>
      </c>
      <c r="N123" s="4" t="n">
        <v>2</v>
      </c>
      <c r="O123" s="9" t="n">
        <f aca="false">-LN(MAX(K123,0.0001))</f>
        <v>0.551092216994546</v>
      </c>
      <c r="P123" s="4" t="s">
        <v>107</v>
      </c>
      <c r="Q123" s="5" t="n">
        <v>0.47202</v>
      </c>
      <c r="R123" s="4" t="s">
        <v>116</v>
      </c>
      <c r="S123" s="4" t="s">
        <v>114</v>
      </c>
      <c r="T123" s="5" t="n">
        <v>0.3426</v>
      </c>
      <c r="U123" s="4" t="n">
        <f aca="false">IF(P123=$E123,1,0)</f>
        <v>0</v>
      </c>
      <c r="V123" s="4" t="n">
        <f aca="false">IF(OR(P123=$E123,R123=$E123,S123=$E123),1,0)</f>
        <v>1</v>
      </c>
      <c r="W123" s="4" t="n">
        <v>2</v>
      </c>
      <c r="X123" s="9" t="n">
        <f aca="false">-LN(MAX(T123,0.0001))</f>
        <v>1.07119169309212</v>
      </c>
      <c r="Y123" s="4" t="s">
        <v>116</v>
      </c>
      <c r="Z123" s="5" t="n">
        <v>0.50656</v>
      </c>
      <c r="AA123" s="4" t="s">
        <v>107</v>
      </c>
      <c r="AB123" s="4" t="s">
        <v>140</v>
      </c>
      <c r="AC123" s="5" t="n">
        <v>0.50656</v>
      </c>
      <c r="AD123" s="4" t="n">
        <f aca="false">IF(Y123=$E123,1,0)</f>
        <v>1</v>
      </c>
      <c r="AE123" s="4" t="n">
        <f aca="false">IF(OR(Y123=$E123,AA123=$E123,AB123=$E123),1,0)</f>
        <v>1</v>
      </c>
      <c r="AF123" s="4" t="n">
        <v>2</v>
      </c>
      <c r="AG123" s="9" t="n">
        <f aca="false">-LN(MAX(AC123,0.0001))</f>
        <v>0.68011250228949</v>
      </c>
    </row>
    <row r="124" customFormat="false" ht="15" hidden="false" customHeight="false" outlineLevel="0" collapsed="false">
      <c r="A124" s="4" t="n">
        <v>2022</v>
      </c>
      <c r="B124" s="4" t="n">
        <v>1</v>
      </c>
      <c r="C124" s="4" t="s">
        <v>109</v>
      </c>
      <c r="D124" s="4" t="s">
        <v>105</v>
      </c>
      <c r="E124" s="4" t="s">
        <v>139</v>
      </c>
      <c r="F124" s="4" t="n">
        <v>1</v>
      </c>
      <c r="G124" s="4" t="s">
        <v>139</v>
      </c>
      <c r="H124" s="5" t="n">
        <v>0.39382</v>
      </c>
      <c r="I124" s="4" t="s">
        <v>116</v>
      </c>
      <c r="J124" s="4" t="s">
        <v>142</v>
      </c>
      <c r="K124" s="5" t="n">
        <v>0.39382</v>
      </c>
      <c r="L124" s="4" t="n">
        <f aca="false">IF(G124=$E124,1,0)</f>
        <v>1</v>
      </c>
      <c r="M124" s="4" t="n">
        <f aca="false">IF(OR(G124=$E124,I124=$E124,J124=$E124),1,0)</f>
        <v>1</v>
      </c>
      <c r="N124" s="4" t="n">
        <v>2</v>
      </c>
      <c r="O124" s="9" t="n">
        <f aca="false">-LN(MAX(K124,0.0001))</f>
        <v>0.931861326865113</v>
      </c>
      <c r="P124" s="4" t="s">
        <v>107</v>
      </c>
      <c r="Q124" s="5" t="n">
        <v>0.28716</v>
      </c>
      <c r="R124" s="4" t="s">
        <v>116</v>
      </c>
      <c r="S124" s="4" t="s">
        <v>114</v>
      </c>
      <c r="T124" s="5" t="n">
        <v>0.0473</v>
      </c>
      <c r="U124" s="4" t="n">
        <f aca="false">IF(P124=$E124,1,0)</f>
        <v>0</v>
      </c>
      <c r="V124" s="4" t="n">
        <f aca="false">IF(OR(P124=$E124,R124=$E124,S124=$E124),1,0)</f>
        <v>0</v>
      </c>
      <c r="W124" s="4" t="n">
        <v>1</v>
      </c>
      <c r="X124" s="9" t="n">
        <f aca="false">-LN(MAX(T124,0.0001))</f>
        <v>3.05124498348425</v>
      </c>
      <c r="Y124" s="4" t="s">
        <v>139</v>
      </c>
      <c r="Z124" s="5" t="n">
        <v>0.55488</v>
      </c>
      <c r="AA124" s="4" t="s">
        <v>116</v>
      </c>
      <c r="AB124" s="4" t="s">
        <v>142</v>
      </c>
      <c r="AC124" s="5" t="n">
        <v>0.55488</v>
      </c>
      <c r="AD124" s="4" t="n">
        <f aca="false">IF(Y124=$E124,1,0)</f>
        <v>1</v>
      </c>
      <c r="AE124" s="4" t="n">
        <f aca="false">IF(OR(Y124=$E124,AA124=$E124,AB124=$E124),1,0)</f>
        <v>1</v>
      </c>
      <c r="AF124" s="4" t="n">
        <v>2</v>
      </c>
      <c r="AG124" s="9" t="n">
        <f aca="false">-LN(MAX(AC124,0.0001))</f>
        <v>0.589003404830015</v>
      </c>
    </row>
    <row r="125" customFormat="false" ht="15" hidden="false" customHeight="false" outlineLevel="0" collapsed="false">
      <c r="A125" s="4" t="n">
        <v>2022</v>
      </c>
      <c r="B125" s="4" t="n">
        <v>2</v>
      </c>
      <c r="C125" s="4" t="s">
        <v>159</v>
      </c>
      <c r="D125" s="4" t="s">
        <v>105</v>
      </c>
      <c r="E125" s="4" t="s">
        <v>116</v>
      </c>
      <c r="F125" s="4" t="n">
        <v>4</v>
      </c>
      <c r="G125" s="4" t="s">
        <v>139</v>
      </c>
      <c r="H125" s="5" t="n">
        <v>0.52088</v>
      </c>
      <c r="I125" s="4" t="s">
        <v>142</v>
      </c>
      <c r="J125" s="4" t="s">
        <v>152</v>
      </c>
      <c r="K125" s="5" t="n">
        <v>0.00788</v>
      </c>
      <c r="L125" s="4" t="n">
        <f aca="false">IF(G125=$E125,1,0)</f>
        <v>0</v>
      </c>
      <c r="M125" s="4" t="n">
        <f aca="false">IF(OR(G125=$E125,I125=$E125,J125=$E125),1,0)</f>
        <v>0</v>
      </c>
      <c r="N125" s="4" t="n">
        <v>2</v>
      </c>
      <c r="O125" s="9" t="n">
        <f aca="false">-LN(MAX(K125,0.0001))</f>
        <v>4.84342737511235</v>
      </c>
      <c r="P125" s="4" t="s">
        <v>107</v>
      </c>
      <c r="Q125" s="5" t="n">
        <v>0.42272</v>
      </c>
      <c r="R125" s="4" t="s">
        <v>142</v>
      </c>
      <c r="S125" s="4" t="s">
        <v>139</v>
      </c>
      <c r="T125" s="5" t="n">
        <v>0.10902</v>
      </c>
      <c r="U125" s="4" t="n">
        <f aca="false">IF(P125=$E125,1,0)</f>
        <v>0</v>
      </c>
      <c r="V125" s="4" t="n">
        <f aca="false">IF(OR(P125=$E125,R125=$E125,S125=$E125),1,0)</f>
        <v>0</v>
      </c>
      <c r="W125" s="4" t="n">
        <v>2</v>
      </c>
      <c r="X125" s="9" t="n">
        <f aca="false">-LN(MAX(T125,0.0001))</f>
        <v>2.216223927346</v>
      </c>
      <c r="Y125" s="4" t="s">
        <v>143</v>
      </c>
      <c r="Z125" s="5" t="n">
        <v>0.50126</v>
      </c>
      <c r="AA125" s="4" t="s">
        <v>139</v>
      </c>
      <c r="AB125" s="4" t="s">
        <v>142</v>
      </c>
      <c r="AC125" s="5" t="n">
        <v>0.04866</v>
      </c>
      <c r="AD125" s="4" t="n">
        <f aca="false">IF(Y125=$E125,1,0)</f>
        <v>0</v>
      </c>
      <c r="AE125" s="4" t="n">
        <f aca="false">IF(OR(Y125=$E125,AA125=$E125,AB125=$E125),1,0)</f>
        <v>0</v>
      </c>
      <c r="AF125" s="4" t="n">
        <v>2</v>
      </c>
      <c r="AG125" s="9" t="n">
        <f aca="false">-LN(MAX(AC125,0.0001))</f>
        <v>3.02289794162676</v>
      </c>
    </row>
    <row r="126" customFormat="false" ht="15" hidden="false" customHeight="false" outlineLevel="0" collapsed="false">
      <c r="A126" s="4" t="n">
        <v>2022</v>
      </c>
      <c r="B126" s="4" t="n">
        <v>3</v>
      </c>
      <c r="C126" s="4" t="s">
        <v>104</v>
      </c>
      <c r="D126" s="4" t="s">
        <v>105</v>
      </c>
      <c r="E126" s="4" t="s">
        <v>139</v>
      </c>
      <c r="F126" s="4" t="n">
        <v>1</v>
      </c>
      <c r="G126" s="4" t="s">
        <v>139</v>
      </c>
      <c r="H126" s="5" t="n">
        <v>0.71276</v>
      </c>
      <c r="I126" s="4" t="s">
        <v>116</v>
      </c>
      <c r="J126" s="4" t="s">
        <v>142</v>
      </c>
      <c r="K126" s="5" t="n">
        <v>0.71276</v>
      </c>
      <c r="L126" s="4" t="n">
        <f aca="false">IF(G126=$E126,1,0)</f>
        <v>1</v>
      </c>
      <c r="M126" s="4" t="n">
        <f aca="false">IF(OR(G126=$E126,I126=$E126,J126=$E126),1,0)</f>
        <v>1</v>
      </c>
      <c r="N126" s="4" t="n">
        <v>1</v>
      </c>
      <c r="O126" s="9" t="n">
        <f aca="false">-LN(MAX(K126,0.0001))</f>
        <v>0.338610521122923</v>
      </c>
      <c r="P126" s="4" t="s">
        <v>116</v>
      </c>
      <c r="Q126" s="5" t="n">
        <v>0.26132</v>
      </c>
      <c r="R126" s="4" t="s">
        <v>107</v>
      </c>
      <c r="S126" s="4" t="s">
        <v>139</v>
      </c>
      <c r="T126" s="5" t="n">
        <v>0.1494</v>
      </c>
      <c r="U126" s="4" t="n">
        <f aca="false">IF(P126=$E126,1,0)</f>
        <v>0</v>
      </c>
      <c r="V126" s="4" t="n">
        <f aca="false">IF(OR(P126=$E126,R126=$E126,S126=$E126),1,0)</f>
        <v>1</v>
      </c>
      <c r="W126" s="4" t="n">
        <v>1</v>
      </c>
      <c r="X126" s="9" t="n">
        <f aca="false">-LN(MAX(T126,0.0001))</f>
        <v>1.90112800628342</v>
      </c>
      <c r="Y126" s="4" t="s">
        <v>139</v>
      </c>
      <c r="Z126" s="5" t="n">
        <v>0.5649</v>
      </c>
      <c r="AA126" s="4" t="s">
        <v>116</v>
      </c>
      <c r="AB126" s="4" t="s">
        <v>143</v>
      </c>
      <c r="AC126" s="5" t="n">
        <v>0.5649</v>
      </c>
      <c r="AD126" s="4" t="n">
        <f aca="false">IF(Y126=$E126,1,0)</f>
        <v>1</v>
      </c>
      <c r="AE126" s="4" t="n">
        <f aca="false">IF(OR(Y126=$E126,AA126=$E126,AB126=$E126),1,0)</f>
        <v>1</v>
      </c>
      <c r="AF126" s="4" t="n">
        <v>2</v>
      </c>
      <c r="AG126" s="9" t="n">
        <f aca="false">-LN(MAX(AC126,0.0001))</f>
        <v>0.571106554650921</v>
      </c>
    </row>
    <row r="127" customFormat="false" ht="15" hidden="false" customHeight="false" outlineLevel="0" collapsed="false">
      <c r="A127" s="4" t="n">
        <v>2022</v>
      </c>
      <c r="B127" s="4" t="n">
        <v>4</v>
      </c>
      <c r="C127" s="4" t="s">
        <v>149</v>
      </c>
      <c r="D127" s="4" t="s">
        <v>105</v>
      </c>
      <c r="E127" s="4" t="s">
        <v>116</v>
      </c>
      <c r="F127" s="4" t="n">
        <v>1</v>
      </c>
      <c r="G127" s="4" t="s">
        <v>139</v>
      </c>
      <c r="H127" s="5" t="n">
        <v>0.58538</v>
      </c>
      <c r="I127" s="4" t="s">
        <v>116</v>
      </c>
      <c r="J127" s="4" t="s">
        <v>143</v>
      </c>
      <c r="K127" s="5" t="n">
        <v>0.26002</v>
      </c>
      <c r="L127" s="4" t="n">
        <f aca="false">IF(G127=$E127,1,0)</f>
        <v>0</v>
      </c>
      <c r="M127" s="4" t="n">
        <f aca="false">IF(OR(G127=$E127,I127=$E127,J127=$E127),1,0)</f>
        <v>1</v>
      </c>
      <c r="N127" s="4" t="n">
        <v>2</v>
      </c>
      <c r="O127" s="9" t="n">
        <f aca="false">-LN(MAX(K127,0.0001))</f>
        <v>1.34699672784811</v>
      </c>
      <c r="P127" s="4" t="s">
        <v>139</v>
      </c>
      <c r="Q127" s="5" t="n">
        <v>0.23352</v>
      </c>
      <c r="R127" s="4" t="s">
        <v>107</v>
      </c>
      <c r="S127" s="4" t="s">
        <v>116</v>
      </c>
      <c r="T127" s="5" t="n">
        <v>0.20146</v>
      </c>
      <c r="U127" s="4" t="n">
        <f aca="false">IF(P127=$E127,1,0)</f>
        <v>0</v>
      </c>
      <c r="V127" s="4" t="n">
        <f aca="false">IF(OR(P127=$E127,R127=$E127,S127=$E127),1,0)</f>
        <v>1</v>
      </c>
      <c r="W127" s="4" t="n">
        <v>1</v>
      </c>
      <c r="X127" s="9" t="n">
        <f aca="false">-LN(MAX(T127,0.0001))</f>
        <v>1.6021644284676</v>
      </c>
      <c r="Y127" s="4" t="s">
        <v>116</v>
      </c>
      <c r="Z127" s="5" t="n">
        <v>0.50986</v>
      </c>
      <c r="AA127" s="4" t="s">
        <v>139</v>
      </c>
      <c r="AB127" s="4" t="s">
        <v>143</v>
      </c>
      <c r="AC127" s="5" t="n">
        <v>0.50986</v>
      </c>
      <c r="AD127" s="4" t="n">
        <f aca="false">IF(Y127=$E127,1,0)</f>
        <v>1</v>
      </c>
      <c r="AE127" s="4" t="n">
        <f aca="false">IF(OR(Y127=$E127,AA127=$E127,AB127=$E127),1,0)</f>
        <v>1</v>
      </c>
      <c r="AF127" s="4" t="n">
        <v>2</v>
      </c>
      <c r="AG127" s="9" t="n">
        <f aca="false">-LN(MAX(AC127,0.0001))</f>
        <v>0.6736191007524</v>
      </c>
    </row>
    <row r="128" customFormat="false" ht="15" hidden="false" customHeight="false" outlineLevel="0" collapsed="false">
      <c r="A128" s="4" t="n">
        <v>2022</v>
      </c>
      <c r="B128" s="4" t="n">
        <v>5</v>
      </c>
      <c r="C128" s="4" t="s">
        <v>160</v>
      </c>
      <c r="D128" s="4" t="s">
        <v>105</v>
      </c>
      <c r="E128" s="4" t="s">
        <v>116</v>
      </c>
      <c r="F128" s="4" t="n">
        <v>3</v>
      </c>
      <c r="G128" s="4" t="s">
        <v>139</v>
      </c>
      <c r="H128" s="5" t="n">
        <v>0.687</v>
      </c>
      <c r="I128" s="4" t="s">
        <v>143</v>
      </c>
      <c r="J128" s="4" t="s">
        <v>116</v>
      </c>
      <c r="K128" s="5" t="n">
        <v>0.08044</v>
      </c>
      <c r="L128" s="4" t="n">
        <f aca="false">IF(G128=$E128,1,0)</f>
        <v>0</v>
      </c>
      <c r="M128" s="4" t="n">
        <f aca="false">IF(OR(G128=$E128,I128=$E128,J128=$E128),1,0)</f>
        <v>1</v>
      </c>
      <c r="N128" s="4" t="n">
        <v>2</v>
      </c>
      <c r="O128" s="9" t="n">
        <f aca="false">-LN(MAX(K128,0.0001))</f>
        <v>2.52024371407769</v>
      </c>
      <c r="P128" s="4" t="s">
        <v>116</v>
      </c>
      <c r="Q128" s="5" t="n">
        <v>0.3147</v>
      </c>
      <c r="R128" s="4" t="s">
        <v>139</v>
      </c>
      <c r="S128" s="4" t="s">
        <v>107</v>
      </c>
      <c r="T128" s="5" t="n">
        <v>0.3147</v>
      </c>
      <c r="U128" s="4" t="n">
        <f aca="false">IF(P128=$E128,1,0)</f>
        <v>1</v>
      </c>
      <c r="V128" s="4" t="n">
        <f aca="false">IF(OR(P128=$E128,R128=$E128,S128=$E128),1,0)</f>
        <v>1</v>
      </c>
      <c r="W128" s="4" t="n">
        <v>2</v>
      </c>
      <c r="X128" s="9" t="n">
        <f aca="false">-LN(MAX(T128,0.0001))</f>
        <v>1.15613547491178</v>
      </c>
      <c r="Y128" s="4" t="s">
        <v>139</v>
      </c>
      <c r="Z128" s="5" t="n">
        <v>0.54444</v>
      </c>
      <c r="AA128" s="4" t="s">
        <v>142</v>
      </c>
      <c r="AB128" s="4" t="s">
        <v>116</v>
      </c>
      <c r="AC128" s="5" t="n">
        <v>0.08512</v>
      </c>
      <c r="AD128" s="4" t="n">
        <f aca="false">IF(Y128=$E128,1,0)</f>
        <v>0</v>
      </c>
      <c r="AE128" s="4" t="n">
        <f aca="false">IF(OR(Y128=$E128,AA128=$E128,AB128=$E128),1,0)</f>
        <v>1</v>
      </c>
      <c r="AF128" s="4" t="n">
        <v>3</v>
      </c>
      <c r="AG128" s="9" t="n">
        <f aca="false">-LN(MAX(AC128,0.0001))</f>
        <v>2.4636932533888</v>
      </c>
    </row>
    <row r="129" customFormat="false" ht="15" hidden="false" customHeight="false" outlineLevel="0" collapsed="false">
      <c r="A129" s="4" t="n">
        <v>2022</v>
      </c>
      <c r="B129" s="4" t="n">
        <v>6</v>
      </c>
      <c r="C129" s="4" t="s">
        <v>115</v>
      </c>
      <c r="D129" s="4" t="s">
        <v>105</v>
      </c>
      <c r="E129" s="4" t="s">
        <v>116</v>
      </c>
      <c r="F129" s="4" t="n">
        <v>2</v>
      </c>
      <c r="G129" s="4" t="s">
        <v>139</v>
      </c>
      <c r="H129" s="5" t="n">
        <v>0.62632</v>
      </c>
      <c r="I129" s="4" t="s">
        <v>116</v>
      </c>
      <c r="J129" s="4" t="s">
        <v>143</v>
      </c>
      <c r="K129" s="5" t="n">
        <v>0.1678</v>
      </c>
      <c r="L129" s="4" t="n">
        <f aca="false">IF(G129=$E129,1,0)</f>
        <v>0</v>
      </c>
      <c r="M129" s="4" t="n">
        <f aca="false">IF(OR(G129=$E129,I129=$E129,J129=$E129),1,0)</f>
        <v>1</v>
      </c>
      <c r="N129" s="4" t="n">
        <v>2</v>
      </c>
      <c r="O129" s="9" t="n">
        <f aca="false">-LN(MAX(K129,0.0001))</f>
        <v>1.78498248494903</v>
      </c>
      <c r="P129" s="4" t="s">
        <v>116</v>
      </c>
      <c r="Q129" s="5" t="n">
        <v>0.37124</v>
      </c>
      <c r="R129" s="4" t="s">
        <v>139</v>
      </c>
      <c r="S129" s="4" t="s">
        <v>107</v>
      </c>
      <c r="T129" s="5" t="n">
        <v>0.37124</v>
      </c>
      <c r="U129" s="4" t="n">
        <f aca="false">IF(P129=$E129,1,0)</f>
        <v>1</v>
      </c>
      <c r="V129" s="4" t="n">
        <f aca="false">IF(OR(P129=$E129,R129=$E129,S129=$E129),1,0)</f>
        <v>1</v>
      </c>
      <c r="W129" s="4" t="n">
        <v>1</v>
      </c>
      <c r="X129" s="9" t="n">
        <f aca="false">-LN(MAX(T129,0.0001))</f>
        <v>0.990906525254945</v>
      </c>
      <c r="Y129" s="4" t="s">
        <v>139</v>
      </c>
      <c r="Z129" s="5" t="n">
        <v>0.5371</v>
      </c>
      <c r="AA129" s="4" t="s">
        <v>116</v>
      </c>
      <c r="AB129" s="4" t="s">
        <v>142</v>
      </c>
      <c r="AC129" s="5" t="n">
        <v>0.1956</v>
      </c>
      <c r="AD129" s="4" t="n">
        <f aca="false">IF(Y129=$E129,1,0)</f>
        <v>0</v>
      </c>
      <c r="AE129" s="4" t="n">
        <f aca="false">IF(OR(Y129=$E129,AA129=$E129,AB129=$E129),1,0)</f>
        <v>1</v>
      </c>
      <c r="AF129" s="4" t="n">
        <v>1</v>
      </c>
      <c r="AG129" s="9" t="n">
        <f aca="false">-LN(MAX(AC129,0.0001))</f>
        <v>1.63168352138142</v>
      </c>
    </row>
    <row r="130" customFormat="false" ht="15" hidden="false" customHeight="false" outlineLevel="0" collapsed="false">
      <c r="A130" s="4" t="n">
        <v>2022</v>
      </c>
      <c r="B130" s="4" t="n">
        <v>7</v>
      </c>
      <c r="C130" s="4" t="s">
        <v>117</v>
      </c>
      <c r="D130" s="4" t="s">
        <v>105</v>
      </c>
      <c r="E130" s="4" t="s">
        <v>143</v>
      </c>
      <c r="F130" s="4" t="n">
        <v>3</v>
      </c>
      <c r="G130" s="4" t="s">
        <v>139</v>
      </c>
      <c r="H130" s="5" t="n">
        <v>0.35302</v>
      </c>
      <c r="I130" s="4" t="s">
        <v>142</v>
      </c>
      <c r="J130" s="4" t="s">
        <v>143</v>
      </c>
      <c r="K130" s="5" t="n">
        <v>0.18798</v>
      </c>
      <c r="L130" s="4" t="n">
        <f aca="false">IF(G130=$E130,1,0)</f>
        <v>0</v>
      </c>
      <c r="M130" s="4" t="n">
        <f aca="false">IF(OR(G130=$E130,I130=$E130,J130=$E130),1,0)</f>
        <v>1</v>
      </c>
      <c r="N130" s="4" t="n">
        <v>2</v>
      </c>
      <c r="O130" s="9" t="n">
        <f aca="false">-LN(MAX(K130,0.0001))</f>
        <v>1.67141970478998</v>
      </c>
      <c r="P130" s="4" t="s">
        <v>116</v>
      </c>
      <c r="Q130" s="5" t="n">
        <v>0.40442</v>
      </c>
      <c r="R130" s="4" t="s">
        <v>107</v>
      </c>
      <c r="S130" s="4" t="s">
        <v>142</v>
      </c>
      <c r="T130" s="5" t="n">
        <v>0.1069</v>
      </c>
      <c r="U130" s="4" t="n">
        <f aca="false">IF(P130=$E130,1,0)</f>
        <v>0</v>
      </c>
      <c r="V130" s="4" t="n">
        <f aca="false">IF(OR(P130=$E130,R130=$E130,S130=$E130),1,0)</f>
        <v>0</v>
      </c>
      <c r="W130" s="4" t="n">
        <v>2</v>
      </c>
      <c r="X130" s="9" t="n">
        <f aca="false">-LN(MAX(T130,0.0001))</f>
        <v>2.23586146095114</v>
      </c>
      <c r="Y130" s="4" t="s">
        <v>139</v>
      </c>
      <c r="Z130" s="5" t="n">
        <v>0.52042</v>
      </c>
      <c r="AA130" s="4" t="s">
        <v>142</v>
      </c>
      <c r="AB130" s="4" t="s">
        <v>143</v>
      </c>
      <c r="AC130" s="5" t="n">
        <v>0.09004</v>
      </c>
      <c r="AD130" s="4" t="n">
        <f aca="false">IF(Y130=$E130,1,0)</f>
        <v>0</v>
      </c>
      <c r="AE130" s="4" t="n">
        <f aca="false">IF(OR(Y130=$E130,AA130=$E130,AB130=$E130),1,0)</f>
        <v>1</v>
      </c>
      <c r="AF130" s="4" t="n">
        <v>2</v>
      </c>
      <c r="AG130" s="9" t="n">
        <f aca="false">-LN(MAX(AC130,0.0001))</f>
        <v>2.40750126294361</v>
      </c>
    </row>
    <row r="131" customFormat="false" ht="15" hidden="false" customHeight="false" outlineLevel="0" collapsed="false">
      <c r="A131" s="4" t="n">
        <v>2022</v>
      </c>
      <c r="B131" s="4" t="n">
        <v>8</v>
      </c>
      <c r="C131" s="4" t="s">
        <v>135</v>
      </c>
      <c r="D131" s="4" t="s">
        <v>105</v>
      </c>
      <c r="E131" s="4" t="s">
        <v>116</v>
      </c>
      <c r="F131" s="4" t="n">
        <v>3</v>
      </c>
      <c r="G131" s="4" t="s">
        <v>139</v>
      </c>
      <c r="H131" s="5" t="n">
        <v>0.34644</v>
      </c>
      <c r="I131" s="4" t="s">
        <v>143</v>
      </c>
      <c r="J131" s="4" t="s">
        <v>116</v>
      </c>
      <c r="K131" s="5" t="n">
        <v>0.18326</v>
      </c>
      <c r="L131" s="4" t="n">
        <f aca="false">IF(G131=$E131,1,0)</f>
        <v>0</v>
      </c>
      <c r="M131" s="4" t="n">
        <f aca="false">IF(OR(G131=$E131,I131=$E131,J131=$E131),1,0)</f>
        <v>1</v>
      </c>
      <c r="N131" s="4" t="n">
        <v>2</v>
      </c>
      <c r="O131" s="9" t="n">
        <f aca="false">-LN(MAX(K131,0.0001))</f>
        <v>1.69684936944507</v>
      </c>
      <c r="P131" s="4" t="s">
        <v>116</v>
      </c>
      <c r="Q131" s="5" t="n">
        <v>0.42344</v>
      </c>
      <c r="R131" s="4" t="s">
        <v>143</v>
      </c>
      <c r="S131" s="4" t="s">
        <v>142</v>
      </c>
      <c r="T131" s="5" t="n">
        <v>0.42344</v>
      </c>
      <c r="U131" s="4" t="n">
        <f aca="false">IF(P131=$E131,1,0)</f>
        <v>1</v>
      </c>
      <c r="V131" s="4" t="n">
        <f aca="false">IF(OR(P131=$E131,R131=$E131,S131=$E131),1,0)</f>
        <v>1</v>
      </c>
      <c r="W131" s="4" t="n">
        <v>2</v>
      </c>
      <c r="X131" s="9" t="n">
        <f aca="false">-LN(MAX(T131,0.0001))</f>
        <v>0.859343451432405</v>
      </c>
      <c r="Y131" s="4" t="s">
        <v>139</v>
      </c>
      <c r="Z131" s="5" t="n">
        <v>0.52348</v>
      </c>
      <c r="AA131" s="4" t="s">
        <v>143</v>
      </c>
      <c r="AB131" s="4" t="s">
        <v>116</v>
      </c>
      <c r="AC131" s="5" t="n">
        <v>0.0912</v>
      </c>
      <c r="AD131" s="4" t="n">
        <f aca="false">IF(Y131=$E131,1,0)</f>
        <v>0</v>
      </c>
      <c r="AE131" s="4" t="n">
        <f aca="false">IF(OR(Y131=$E131,AA131=$E131,AB131=$E131),1,0)</f>
        <v>1</v>
      </c>
      <c r="AF131" s="4" t="n">
        <v>2</v>
      </c>
      <c r="AG131" s="9" t="n">
        <f aca="false">-LN(MAX(AC131,0.0001))</f>
        <v>2.39470038190185</v>
      </c>
    </row>
    <row r="132" customFormat="false" ht="15" hidden="false" customHeight="false" outlineLevel="0" collapsed="false">
      <c r="A132" s="4" t="n">
        <v>2022</v>
      </c>
      <c r="B132" s="4" t="n">
        <v>9</v>
      </c>
      <c r="C132" s="4" t="s">
        <v>118</v>
      </c>
      <c r="D132" s="4" t="s">
        <v>105</v>
      </c>
      <c r="E132" s="4" t="s">
        <v>116</v>
      </c>
      <c r="F132" s="4" t="n">
        <v>1</v>
      </c>
      <c r="G132" s="4" t="s">
        <v>116</v>
      </c>
      <c r="H132" s="5" t="n">
        <v>0.80042</v>
      </c>
      <c r="I132" s="4" t="s">
        <v>142</v>
      </c>
      <c r="J132" s="4" t="s">
        <v>158</v>
      </c>
      <c r="K132" s="5" t="n">
        <v>0.80042</v>
      </c>
      <c r="L132" s="4" t="n">
        <f aca="false">IF(G132=$E132,1,0)</f>
        <v>1</v>
      </c>
      <c r="M132" s="4" t="n">
        <f aca="false">IF(OR(G132=$E132,I132=$E132,J132=$E132),1,0)</f>
        <v>1</v>
      </c>
      <c r="N132" s="4" t="n">
        <v>2</v>
      </c>
      <c r="O132" s="9" t="n">
        <f aca="false">-LN(MAX(K132,0.0001))</f>
        <v>0.222618689078494</v>
      </c>
      <c r="P132" s="4" t="s">
        <v>116</v>
      </c>
      <c r="Q132" s="5" t="n">
        <v>0.46446</v>
      </c>
      <c r="R132" s="4" t="s">
        <v>143</v>
      </c>
      <c r="S132" s="4" t="s">
        <v>107</v>
      </c>
      <c r="T132" s="5" t="n">
        <v>0.46446</v>
      </c>
      <c r="U132" s="4" t="n">
        <f aca="false">IF(P132=$E132,1,0)</f>
        <v>1</v>
      </c>
      <c r="V132" s="4" t="n">
        <f aca="false">IF(OR(P132=$E132,R132=$E132,S132=$E132),1,0)</f>
        <v>1</v>
      </c>
      <c r="W132" s="4" t="n">
        <v>2</v>
      </c>
      <c r="X132" s="9" t="n">
        <f aca="false">-LN(MAX(T132,0.0001))</f>
        <v>0.76687983853746</v>
      </c>
      <c r="Y132" s="4" t="s">
        <v>116</v>
      </c>
      <c r="Z132" s="5" t="n">
        <v>0.554</v>
      </c>
      <c r="AA132" s="4" t="s">
        <v>158</v>
      </c>
      <c r="AB132" s="4" t="s">
        <v>142</v>
      </c>
      <c r="AC132" s="5" t="n">
        <v>0.554</v>
      </c>
      <c r="AD132" s="4" t="n">
        <f aca="false">IF(Y132=$E132,1,0)</f>
        <v>1</v>
      </c>
      <c r="AE132" s="4" t="n">
        <f aca="false">IF(OR(Y132=$E132,AA132=$E132,AB132=$E132),1,0)</f>
        <v>1</v>
      </c>
      <c r="AF132" s="4" t="n">
        <v>2</v>
      </c>
      <c r="AG132" s="9" t="n">
        <f aca="false">-LN(MAX(AC132,0.0001))</f>
        <v>0.590590592234853</v>
      </c>
    </row>
    <row r="133" customFormat="false" ht="15" hidden="false" customHeight="false" outlineLevel="0" collapsed="false">
      <c r="A133" s="4" t="n">
        <v>2022</v>
      </c>
      <c r="B133" s="4" t="n">
        <v>10</v>
      </c>
      <c r="C133" s="4" t="s">
        <v>123</v>
      </c>
      <c r="D133" s="4" t="s">
        <v>105</v>
      </c>
      <c r="E133" s="4" t="s">
        <v>142</v>
      </c>
      <c r="F133" s="4" t="n">
        <v>1</v>
      </c>
      <c r="G133" s="4" t="s">
        <v>116</v>
      </c>
      <c r="H133" s="5" t="n">
        <v>0.38832</v>
      </c>
      <c r="I133" s="4" t="s">
        <v>142</v>
      </c>
      <c r="J133" s="4" t="s">
        <v>152</v>
      </c>
      <c r="K133" s="5" t="n">
        <v>0.22558</v>
      </c>
      <c r="L133" s="4" t="n">
        <f aca="false">IF(G133=$E133,1,0)</f>
        <v>0</v>
      </c>
      <c r="M133" s="4" t="n">
        <f aca="false">IF(OR(G133=$E133,I133=$E133,J133=$E133),1,0)</f>
        <v>1</v>
      </c>
      <c r="N133" s="4" t="n">
        <v>2</v>
      </c>
      <c r="O133" s="9" t="n">
        <f aca="false">-LN(MAX(K133,0.0001))</f>
        <v>1.48908041577037</v>
      </c>
      <c r="P133" s="4" t="s">
        <v>116</v>
      </c>
      <c r="Q133" s="5" t="n">
        <v>0.42558</v>
      </c>
      <c r="R133" s="4" t="s">
        <v>107</v>
      </c>
      <c r="S133" s="4" t="s">
        <v>142</v>
      </c>
      <c r="T133" s="5" t="n">
        <v>0.08544</v>
      </c>
      <c r="U133" s="4" t="n">
        <f aca="false">IF(P133=$E133,1,0)</f>
        <v>0</v>
      </c>
      <c r="V133" s="4" t="n">
        <f aca="false">IF(OR(P133=$E133,R133=$E133,S133=$E133),1,0)</f>
        <v>1</v>
      </c>
      <c r="W133" s="4" t="n">
        <v>2</v>
      </c>
      <c r="X133" s="9" t="n">
        <f aca="false">-LN(MAX(T133,0.0001))</f>
        <v>2.45994090377025</v>
      </c>
      <c r="Y133" s="4" t="s">
        <v>142</v>
      </c>
      <c r="Z133" s="5" t="n">
        <v>0.50178</v>
      </c>
      <c r="AA133" s="4" t="s">
        <v>116</v>
      </c>
      <c r="AB133" s="4" t="s">
        <v>139</v>
      </c>
      <c r="AC133" s="5" t="n">
        <v>0.50178</v>
      </c>
      <c r="AD133" s="4" t="n">
        <f aca="false">IF(Y133=$E133,1,0)</f>
        <v>1</v>
      </c>
      <c r="AE133" s="4" t="n">
        <f aca="false">IF(OR(Y133=$E133,AA133=$E133,AB133=$E133),1,0)</f>
        <v>1</v>
      </c>
      <c r="AF133" s="4" t="n">
        <v>1</v>
      </c>
      <c r="AG133" s="9" t="n">
        <f aca="false">-LN(MAX(AC133,0.0001))</f>
        <v>0.689593502360648</v>
      </c>
    </row>
    <row r="134" customFormat="false" ht="15" hidden="false" customHeight="false" outlineLevel="0" collapsed="false">
      <c r="A134" s="4" t="n">
        <v>2022</v>
      </c>
      <c r="B134" s="4" t="n">
        <v>11</v>
      </c>
      <c r="C134" s="4" t="s">
        <v>120</v>
      </c>
      <c r="D134" s="4" t="s">
        <v>105</v>
      </c>
      <c r="E134" s="4" t="s">
        <v>139</v>
      </c>
      <c r="F134" s="4" t="n">
        <v>2</v>
      </c>
      <c r="G134" s="4" t="s">
        <v>116</v>
      </c>
      <c r="H134" s="5" t="n">
        <v>0.62822</v>
      </c>
      <c r="I134" s="4" t="s">
        <v>139</v>
      </c>
      <c r="J134" s="4" t="s">
        <v>142</v>
      </c>
      <c r="K134" s="5" t="n">
        <v>0.14078</v>
      </c>
      <c r="L134" s="4" t="n">
        <f aca="false">IF(G134=$E134,1,0)</f>
        <v>0</v>
      </c>
      <c r="M134" s="4" t="n">
        <f aca="false">IF(OR(G134=$E134,I134=$E134,J134=$E134),1,0)</f>
        <v>1</v>
      </c>
      <c r="N134" s="4" t="n">
        <v>2</v>
      </c>
      <c r="O134" s="9" t="n">
        <f aca="false">-LN(MAX(K134,0.0001))</f>
        <v>1.96055689080215</v>
      </c>
      <c r="P134" s="4" t="s">
        <v>116</v>
      </c>
      <c r="Q134" s="5" t="n">
        <v>0.34154</v>
      </c>
      <c r="R134" s="4" t="s">
        <v>107</v>
      </c>
      <c r="S134" s="4" t="s">
        <v>142</v>
      </c>
      <c r="T134" s="5" t="n">
        <v>0.08188</v>
      </c>
      <c r="U134" s="4" t="n">
        <f aca="false">IF(P134=$E134,1,0)</f>
        <v>0</v>
      </c>
      <c r="V134" s="4" t="n">
        <f aca="false">IF(OR(P134=$E134,R134=$E134,S134=$E134),1,0)</f>
        <v>0</v>
      </c>
      <c r="W134" s="4" t="n">
        <v>2</v>
      </c>
      <c r="X134" s="9" t="n">
        <f aca="false">-LN(MAX(T134,0.0001))</f>
        <v>2.50250051818905</v>
      </c>
      <c r="Y134" s="4" t="s">
        <v>116</v>
      </c>
      <c r="Z134" s="5" t="n">
        <v>0.5354</v>
      </c>
      <c r="AA134" s="4" t="s">
        <v>139</v>
      </c>
      <c r="AB134" s="4" t="s">
        <v>142</v>
      </c>
      <c r="AC134" s="5" t="n">
        <v>0.18978</v>
      </c>
      <c r="AD134" s="4" t="n">
        <f aca="false">IF(Y134=$E134,1,0)</f>
        <v>0</v>
      </c>
      <c r="AE134" s="4" t="n">
        <f aca="false">IF(OR(Y134=$E134,AA134=$E134,AB134=$E134),1,0)</f>
        <v>1</v>
      </c>
      <c r="AF134" s="4" t="n">
        <v>2</v>
      </c>
      <c r="AG134" s="9" t="n">
        <f aca="false">-LN(MAX(AC134,0.0001))</f>
        <v>1.66188977243652</v>
      </c>
    </row>
    <row r="135" customFormat="false" ht="15" hidden="false" customHeight="false" outlineLevel="0" collapsed="false">
      <c r="A135" s="4" t="n">
        <v>2022</v>
      </c>
      <c r="B135" s="4" t="n">
        <v>12</v>
      </c>
      <c r="C135" s="4" t="s">
        <v>138</v>
      </c>
      <c r="D135" s="4" t="s">
        <v>105</v>
      </c>
      <c r="E135" s="4" t="s">
        <v>116</v>
      </c>
      <c r="F135" s="4" t="n">
        <v>2</v>
      </c>
      <c r="G135" s="4" t="s">
        <v>139</v>
      </c>
      <c r="H135" s="5" t="n">
        <v>0.53288</v>
      </c>
      <c r="I135" s="4" t="s">
        <v>116</v>
      </c>
      <c r="J135" s="4" t="s">
        <v>107</v>
      </c>
      <c r="K135" s="5" t="n">
        <v>0.22402</v>
      </c>
      <c r="L135" s="4" t="n">
        <f aca="false">IF(G135=$E135,1,0)</f>
        <v>0</v>
      </c>
      <c r="M135" s="4" t="n">
        <f aca="false">IF(OR(G135=$E135,I135=$E135,J135=$E135),1,0)</f>
        <v>1</v>
      </c>
      <c r="N135" s="4" t="n">
        <v>2</v>
      </c>
      <c r="O135" s="9" t="n">
        <f aca="false">-LN(MAX(K135,0.0001))</f>
        <v>1.49601994539854</v>
      </c>
      <c r="P135" s="4" t="s">
        <v>116</v>
      </c>
      <c r="Q135" s="5" t="n">
        <v>0.38472</v>
      </c>
      <c r="R135" s="4" t="s">
        <v>107</v>
      </c>
      <c r="S135" s="4" t="s">
        <v>139</v>
      </c>
      <c r="T135" s="5" t="n">
        <v>0.38472</v>
      </c>
      <c r="U135" s="4" t="n">
        <f aca="false">IF(P135=$E135,1,0)</f>
        <v>1</v>
      </c>
      <c r="V135" s="4" t="n">
        <f aca="false">IF(OR(P135=$E135,R135=$E135,S135=$E135),1,0)</f>
        <v>1</v>
      </c>
      <c r="W135" s="4" t="n">
        <v>2</v>
      </c>
      <c r="X135" s="9" t="n">
        <f aca="false">-LN(MAX(T135,0.0001))</f>
        <v>0.95523948201273</v>
      </c>
      <c r="Y135" s="4" t="s">
        <v>139</v>
      </c>
      <c r="Z135" s="5" t="n">
        <v>0.48434</v>
      </c>
      <c r="AA135" s="4" t="s">
        <v>116</v>
      </c>
      <c r="AB135" s="4" t="s">
        <v>143</v>
      </c>
      <c r="AC135" s="5" t="n">
        <v>0.21228</v>
      </c>
      <c r="AD135" s="4" t="n">
        <f aca="false">IF(Y135=$E135,1,0)</f>
        <v>0</v>
      </c>
      <c r="AE135" s="4" t="n">
        <f aca="false">IF(OR(Y135=$E135,AA135=$E135,AB135=$E135),1,0)</f>
        <v>1</v>
      </c>
      <c r="AF135" s="4" t="n">
        <v>1</v>
      </c>
      <c r="AG135" s="9" t="n">
        <f aca="false">-LN(MAX(AC135,0.0001))</f>
        <v>1.54984912102244</v>
      </c>
    </row>
    <row r="136" customFormat="false" ht="15" hidden="false" customHeight="false" outlineLevel="0" collapsed="false">
      <c r="A136" s="4" t="n">
        <v>2022</v>
      </c>
      <c r="B136" s="4" t="n">
        <v>13</v>
      </c>
      <c r="C136" s="4" t="s">
        <v>124</v>
      </c>
      <c r="D136" s="4" t="s">
        <v>105</v>
      </c>
      <c r="E136" s="4" t="s">
        <v>116</v>
      </c>
      <c r="F136" s="4" t="n">
        <v>10</v>
      </c>
      <c r="G136" s="4" t="s">
        <v>142</v>
      </c>
      <c r="H136" s="5" t="n">
        <v>0.35834</v>
      </c>
      <c r="I136" s="4" t="s">
        <v>152</v>
      </c>
      <c r="J136" s="4" t="s">
        <v>139</v>
      </c>
      <c r="K136" s="5" t="n">
        <v>0.04254</v>
      </c>
      <c r="L136" s="4" t="n">
        <f aca="false">IF(G136=$E136,1,0)</f>
        <v>0</v>
      </c>
      <c r="M136" s="4" t="n">
        <f aca="false">IF(OR(G136=$E136,I136=$E136,J136=$E136),1,0)</f>
        <v>0</v>
      </c>
      <c r="N136" s="4" t="n">
        <v>1</v>
      </c>
      <c r="O136" s="9" t="n">
        <f aca="false">-LN(MAX(K136,0.0001))</f>
        <v>3.15731046921005</v>
      </c>
      <c r="P136" s="4" t="s">
        <v>116</v>
      </c>
      <c r="Q136" s="5" t="n">
        <v>0.40086</v>
      </c>
      <c r="R136" s="4" t="s">
        <v>107</v>
      </c>
      <c r="S136" s="4" t="s">
        <v>142</v>
      </c>
      <c r="T136" s="5" t="n">
        <v>0.40086</v>
      </c>
      <c r="U136" s="4" t="n">
        <f aca="false">IF(P136=$E136,1,0)</f>
        <v>1</v>
      </c>
      <c r="V136" s="4" t="n">
        <f aca="false">IF(OR(P136=$E136,R136=$E136,S136=$E136),1,0)</f>
        <v>1</v>
      </c>
      <c r="W136" s="4" t="n">
        <v>2</v>
      </c>
      <c r="X136" s="9" t="n">
        <f aca="false">-LN(MAX(T136,0.0001))</f>
        <v>0.914143039816696</v>
      </c>
      <c r="Y136" s="4" t="s">
        <v>152</v>
      </c>
      <c r="Z136" s="5" t="n">
        <v>0.55706</v>
      </c>
      <c r="AA136" s="4" t="s">
        <v>142</v>
      </c>
      <c r="AB136" s="4" t="s">
        <v>139</v>
      </c>
      <c r="AC136" s="5" t="n">
        <v>0.00782</v>
      </c>
      <c r="AD136" s="4" t="n">
        <f aca="false">IF(Y136=$E136,1,0)</f>
        <v>0</v>
      </c>
      <c r="AE136" s="4" t="n">
        <f aca="false">IF(OR(Y136=$E136,AA136=$E136,AB136=$E136),1,0)</f>
        <v>0</v>
      </c>
      <c r="AF136" s="4" t="n">
        <v>1</v>
      </c>
      <c r="AG136" s="9" t="n">
        <f aca="false">-LN(MAX(AC136,0.0001))</f>
        <v>4.85107072442492</v>
      </c>
    </row>
    <row r="137" customFormat="false" ht="15" hidden="false" customHeight="false" outlineLevel="0" collapsed="false">
      <c r="A137" s="4" t="n">
        <v>2022</v>
      </c>
      <c r="B137" s="4" t="n">
        <v>14</v>
      </c>
      <c r="C137" s="4" t="s">
        <v>126</v>
      </c>
      <c r="D137" s="4" t="s">
        <v>105</v>
      </c>
      <c r="E137" s="4" t="s">
        <v>116</v>
      </c>
      <c r="F137" s="4" t="n">
        <v>14</v>
      </c>
      <c r="G137" s="4" t="s">
        <v>142</v>
      </c>
      <c r="H137" s="5" t="n">
        <v>0.5198</v>
      </c>
      <c r="I137" s="4" t="s">
        <v>143</v>
      </c>
      <c r="J137" s="4" t="s">
        <v>116</v>
      </c>
      <c r="K137" s="5" t="n">
        <v>0.1111</v>
      </c>
      <c r="L137" s="4" t="n">
        <f aca="false">IF(G137=$E137,1,0)</f>
        <v>0</v>
      </c>
      <c r="M137" s="4" t="n">
        <f aca="false">IF(OR(G137=$E137,I137=$E137,J137=$E137),1,0)</f>
        <v>1</v>
      </c>
      <c r="N137" s="4" t="n">
        <v>3</v>
      </c>
      <c r="O137" s="9" t="n">
        <f aca="false">-LN(MAX(K137,0.0001))</f>
        <v>2.19732458233655</v>
      </c>
      <c r="P137" s="4" t="s">
        <v>116</v>
      </c>
      <c r="Q137" s="5" t="n">
        <v>0.40638</v>
      </c>
      <c r="R137" s="4" t="s">
        <v>107</v>
      </c>
      <c r="S137" s="4" t="s">
        <v>142</v>
      </c>
      <c r="T137" s="5" t="n">
        <v>0.40638</v>
      </c>
      <c r="U137" s="4" t="n">
        <f aca="false">IF(P137=$E137,1,0)</f>
        <v>1</v>
      </c>
      <c r="V137" s="4" t="n">
        <f aca="false">IF(OR(P137=$E137,R137=$E137,S137=$E137),1,0)</f>
        <v>1</v>
      </c>
      <c r="W137" s="4" t="n">
        <v>2</v>
      </c>
      <c r="X137" s="9" t="n">
        <f aca="false">-LN(MAX(T137,0.0001))</f>
        <v>0.90046659652727</v>
      </c>
      <c r="Y137" s="4" t="s">
        <v>142</v>
      </c>
      <c r="Z137" s="5" t="n">
        <v>0.47104</v>
      </c>
      <c r="AA137" s="4" t="s">
        <v>143</v>
      </c>
      <c r="AB137" s="4" t="s">
        <v>158</v>
      </c>
      <c r="AC137" s="5" t="n">
        <v>0.00458</v>
      </c>
      <c r="AD137" s="4" t="n">
        <f aca="false">IF(Y137=$E137,1,0)</f>
        <v>0</v>
      </c>
      <c r="AE137" s="4" t="n">
        <f aca="false">IF(OR(Y137=$E137,AA137=$E137,AB137=$E137),1,0)</f>
        <v>0</v>
      </c>
      <c r="AF137" s="4" t="n">
        <v>2</v>
      </c>
      <c r="AG137" s="9" t="n">
        <f aca="false">-LN(MAX(AC137,0.0001))</f>
        <v>5.38605628085604</v>
      </c>
    </row>
    <row r="138" customFormat="false" ht="15" hidden="false" customHeight="false" outlineLevel="0" collapsed="false">
      <c r="A138" s="4" t="n">
        <v>2022</v>
      </c>
      <c r="B138" s="4" t="n">
        <v>15</v>
      </c>
      <c r="C138" s="4" t="s">
        <v>154</v>
      </c>
      <c r="D138" s="4" t="s">
        <v>105</v>
      </c>
      <c r="E138" s="4" t="s">
        <v>116</v>
      </c>
      <c r="F138" s="4" t="n">
        <v>1</v>
      </c>
      <c r="G138" s="4" t="s">
        <v>116</v>
      </c>
      <c r="H138" s="5" t="n">
        <v>0.61746</v>
      </c>
      <c r="I138" s="4" t="s">
        <v>142</v>
      </c>
      <c r="J138" s="4" t="s">
        <v>139</v>
      </c>
      <c r="K138" s="5" t="n">
        <v>0.61746</v>
      </c>
      <c r="L138" s="4" t="n">
        <f aca="false">IF(G138=$E138,1,0)</f>
        <v>1</v>
      </c>
      <c r="M138" s="4" t="n">
        <f aca="false">IF(OR(G138=$E138,I138=$E138,J138=$E138),1,0)</f>
        <v>1</v>
      </c>
      <c r="N138" s="4" t="n">
        <v>2</v>
      </c>
      <c r="O138" s="9" t="n">
        <f aca="false">-LN(MAX(K138,0.0001))</f>
        <v>0.482140989906082</v>
      </c>
      <c r="P138" s="4" t="s">
        <v>116</v>
      </c>
      <c r="Q138" s="5" t="n">
        <v>0.48082</v>
      </c>
      <c r="R138" s="4" t="s">
        <v>143</v>
      </c>
      <c r="S138" s="4" t="s">
        <v>142</v>
      </c>
      <c r="T138" s="5" t="n">
        <v>0.48082</v>
      </c>
      <c r="U138" s="4" t="n">
        <f aca="false">IF(P138=$E138,1,0)</f>
        <v>1</v>
      </c>
      <c r="V138" s="4" t="n">
        <f aca="false">IF(OR(P138=$E138,R138=$E138,S138=$E138),1,0)</f>
        <v>1</v>
      </c>
      <c r="W138" s="4" t="n">
        <v>1</v>
      </c>
      <c r="X138" s="9" t="n">
        <f aca="false">-LN(MAX(T138,0.0001))</f>
        <v>0.732262299288514</v>
      </c>
      <c r="Y138" s="4" t="s">
        <v>116</v>
      </c>
      <c r="Z138" s="5" t="n">
        <v>0.54346</v>
      </c>
      <c r="AA138" s="4" t="s">
        <v>139</v>
      </c>
      <c r="AB138" s="4" t="s">
        <v>142</v>
      </c>
      <c r="AC138" s="5" t="n">
        <v>0.54346</v>
      </c>
      <c r="AD138" s="4" t="n">
        <f aca="false">IF(Y138=$E138,1,0)</f>
        <v>1</v>
      </c>
      <c r="AE138" s="4" t="n">
        <f aca="false">IF(OR(Y138=$E138,AA138=$E138,AB138=$E138),1,0)</f>
        <v>1</v>
      </c>
      <c r="AF138" s="4" t="n">
        <v>2</v>
      </c>
      <c r="AG138" s="9" t="n">
        <f aca="false">-LN(MAX(AC138,0.0001))</f>
        <v>0.609799172185387</v>
      </c>
    </row>
    <row r="139" customFormat="false" ht="15" hidden="false" customHeight="false" outlineLevel="0" collapsed="false">
      <c r="A139" s="4" t="n">
        <v>2022</v>
      </c>
      <c r="B139" s="4" t="n">
        <v>16</v>
      </c>
      <c r="C139" s="4" t="s">
        <v>127</v>
      </c>
      <c r="D139" s="4" t="s">
        <v>105</v>
      </c>
      <c r="E139" s="4" t="s">
        <v>116</v>
      </c>
      <c r="F139" s="4" t="n">
        <v>7</v>
      </c>
      <c r="G139" s="4" t="s">
        <v>139</v>
      </c>
      <c r="H139" s="5" t="n">
        <v>0.53014</v>
      </c>
      <c r="I139" s="4" t="s">
        <v>116</v>
      </c>
      <c r="J139" s="4" t="s">
        <v>152</v>
      </c>
      <c r="K139" s="5" t="n">
        <v>0.20748</v>
      </c>
      <c r="L139" s="4" t="n">
        <f aca="false">IF(G139=$E139,1,0)</f>
        <v>0</v>
      </c>
      <c r="M139" s="4" t="n">
        <f aca="false">IF(OR(G139=$E139,I139=$E139,J139=$E139),1,0)</f>
        <v>1</v>
      </c>
      <c r="N139" s="4" t="n">
        <v>3</v>
      </c>
      <c r="O139" s="9" t="n">
        <f aca="false">-LN(MAX(K139,0.0001))</f>
        <v>1.57272032949894</v>
      </c>
      <c r="P139" s="4" t="s">
        <v>116</v>
      </c>
      <c r="Q139" s="5" t="n">
        <v>0.48684</v>
      </c>
      <c r="R139" s="4" t="s">
        <v>143</v>
      </c>
      <c r="S139" s="4" t="s">
        <v>107</v>
      </c>
      <c r="T139" s="5" t="n">
        <v>0.48684</v>
      </c>
      <c r="U139" s="4" t="n">
        <f aca="false">IF(P139=$E139,1,0)</f>
        <v>1</v>
      </c>
      <c r="V139" s="4" t="n">
        <f aca="false">IF(OR(P139=$E139,R139=$E139,S139=$E139),1,0)</f>
        <v>1</v>
      </c>
      <c r="W139" s="4" t="n">
        <v>1</v>
      </c>
      <c r="X139" s="9" t="n">
        <f aca="false">-LN(MAX(T139,0.0001))</f>
        <v>0.719819751975781</v>
      </c>
      <c r="Y139" s="4" t="s">
        <v>139</v>
      </c>
      <c r="Z139" s="5" t="n">
        <v>0.46336</v>
      </c>
      <c r="AA139" s="4" t="s">
        <v>152</v>
      </c>
      <c r="AB139" s="4" t="s">
        <v>140</v>
      </c>
      <c r="AC139" s="5" t="n">
        <v>0.0176</v>
      </c>
      <c r="AD139" s="4" t="n">
        <f aca="false">IF(Y139=$E139,1,0)</f>
        <v>0</v>
      </c>
      <c r="AE139" s="4" t="n">
        <f aca="false">IF(OR(Y139=$E139,AA139=$E139,AB139=$E139),1,0)</f>
        <v>0</v>
      </c>
      <c r="AF139" s="4" t="n">
        <v>2</v>
      </c>
      <c r="AG139" s="9" t="n">
        <f aca="false">-LN(MAX(AC139,0.0001))</f>
        <v>4.03985637693803</v>
      </c>
    </row>
    <row r="140" customFormat="false" ht="15" hidden="false" customHeight="false" outlineLevel="0" collapsed="false">
      <c r="A140" s="4" t="n">
        <v>2022</v>
      </c>
      <c r="B140" s="4" t="n">
        <v>17</v>
      </c>
      <c r="C140" s="4" t="s">
        <v>128</v>
      </c>
      <c r="D140" s="4" t="s">
        <v>105</v>
      </c>
      <c r="E140" s="4" t="s">
        <v>143</v>
      </c>
      <c r="F140" s="4" t="n">
        <v>2</v>
      </c>
      <c r="G140" s="4" t="s">
        <v>139</v>
      </c>
      <c r="H140" s="5" t="n">
        <v>0.4959</v>
      </c>
      <c r="I140" s="4" t="s">
        <v>143</v>
      </c>
      <c r="J140" s="4" t="s">
        <v>142</v>
      </c>
      <c r="K140" s="5" t="n">
        <v>0.22826</v>
      </c>
      <c r="L140" s="4" t="n">
        <f aca="false">IF(G140=$E140,1,0)</f>
        <v>0</v>
      </c>
      <c r="M140" s="4" t="n">
        <f aca="false">IF(OR(G140=$E140,I140=$E140,J140=$E140),1,0)</f>
        <v>1</v>
      </c>
      <c r="N140" s="4" t="n">
        <v>2</v>
      </c>
      <c r="O140" s="9" t="n">
        <f aca="false">-LN(MAX(K140,0.0001))</f>
        <v>1.47726994885668</v>
      </c>
      <c r="P140" s="4" t="s">
        <v>116</v>
      </c>
      <c r="Q140" s="5" t="n">
        <v>0.50654</v>
      </c>
      <c r="R140" s="4" t="s">
        <v>139</v>
      </c>
      <c r="S140" s="4" t="s">
        <v>143</v>
      </c>
      <c r="T140" s="5" t="n">
        <v>0.1115</v>
      </c>
      <c r="U140" s="4" t="n">
        <f aca="false">IF(P140=$E140,1,0)</f>
        <v>0</v>
      </c>
      <c r="V140" s="4" t="n">
        <f aca="false">IF(OR(P140=$E140,R140=$E140,S140=$E140),1,0)</f>
        <v>1</v>
      </c>
      <c r="W140" s="4" t="n">
        <v>1</v>
      </c>
      <c r="X140" s="9" t="n">
        <f aca="false">-LN(MAX(T140,0.0001))</f>
        <v>2.19373068808196</v>
      </c>
      <c r="Y140" s="4" t="s">
        <v>139</v>
      </c>
      <c r="Z140" s="5" t="n">
        <v>0.4695</v>
      </c>
      <c r="AA140" s="4" t="s">
        <v>143</v>
      </c>
      <c r="AB140" s="4" t="s">
        <v>107</v>
      </c>
      <c r="AC140" s="5" t="n">
        <v>0.22322</v>
      </c>
      <c r="AD140" s="4" t="n">
        <f aca="false">IF(Y140=$E140,1,0)</f>
        <v>0</v>
      </c>
      <c r="AE140" s="4" t="n">
        <f aca="false">IF(OR(Y140=$E140,AA140=$E140,AB140=$E140),1,0)</f>
        <v>1</v>
      </c>
      <c r="AF140" s="4" t="n">
        <v>2</v>
      </c>
      <c r="AG140" s="9" t="n">
        <f aca="false">-LN(MAX(AC140,0.0001))</f>
        <v>1.49959744675457</v>
      </c>
    </row>
    <row r="141" customFormat="false" ht="15" hidden="false" customHeight="false" outlineLevel="0" collapsed="false">
      <c r="A141" s="4" t="n">
        <v>2022</v>
      </c>
      <c r="B141" s="4" t="n">
        <v>18</v>
      </c>
      <c r="C141" s="4" t="s">
        <v>130</v>
      </c>
      <c r="D141" s="4" t="s">
        <v>105</v>
      </c>
      <c r="E141" s="4" t="s">
        <v>116</v>
      </c>
      <c r="F141" s="4" t="n">
        <v>1</v>
      </c>
      <c r="G141" s="4" t="s">
        <v>116</v>
      </c>
      <c r="H141" s="5" t="n">
        <v>0.44868</v>
      </c>
      <c r="I141" s="4" t="s">
        <v>139</v>
      </c>
      <c r="J141" s="4" t="s">
        <v>142</v>
      </c>
      <c r="K141" s="5" t="n">
        <v>0.44868</v>
      </c>
      <c r="L141" s="4" t="n">
        <f aca="false">IF(G141=$E141,1,0)</f>
        <v>1</v>
      </c>
      <c r="M141" s="4" t="n">
        <f aca="false">IF(OR(G141=$E141,I141=$E141,J141=$E141),1,0)</f>
        <v>1</v>
      </c>
      <c r="N141" s="4" t="n">
        <v>3</v>
      </c>
      <c r="O141" s="9" t="n">
        <f aca="false">-LN(MAX(K141,0.0001))</f>
        <v>0.801445340205114</v>
      </c>
      <c r="P141" s="4" t="s">
        <v>116</v>
      </c>
      <c r="Q141" s="5" t="n">
        <v>0.42036</v>
      </c>
      <c r="R141" s="4" t="s">
        <v>143</v>
      </c>
      <c r="S141" s="4" t="s">
        <v>139</v>
      </c>
      <c r="T141" s="5" t="n">
        <v>0.42036</v>
      </c>
      <c r="U141" s="4" t="n">
        <f aca="false">IF(P141=$E141,1,0)</f>
        <v>1</v>
      </c>
      <c r="V141" s="4" t="n">
        <f aca="false">IF(OR(P141=$E141,R141=$E141,S141=$E141),1,0)</f>
        <v>1</v>
      </c>
      <c r="W141" s="4" t="n">
        <v>3</v>
      </c>
      <c r="X141" s="9" t="n">
        <f aca="false">-LN(MAX(T141,0.0001))</f>
        <v>0.866643791984741</v>
      </c>
      <c r="Y141" s="4" t="s">
        <v>116</v>
      </c>
      <c r="Z141" s="5" t="n">
        <v>0.54752</v>
      </c>
      <c r="AA141" s="4" t="s">
        <v>139</v>
      </c>
      <c r="AB141" s="4" t="s">
        <v>142</v>
      </c>
      <c r="AC141" s="5" t="n">
        <v>0.54752</v>
      </c>
      <c r="AD141" s="4" t="n">
        <f aca="false">IF(Y141=$E141,1,0)</f>
        <v>1</v>
      </c>
      <c r="AE141" s="4" t="n">
        <f aca="false">IF(OR(Y141=$E141,AA141=$E141,AB141=$E141),1,0)</f>
        <v>1</v>
      </c>
      <c r="AF141" s="4" t="n">
        <v>2</v>
      </c>
      <c r="AG141" s="9" t="n">
        <f aca="false">-LN(MAX(AC141,0.0001))</f>
        <v>0.602356288278308</v>
      </c>
    </row>
    <row r="142" customFormat="false" ht="15" hidden="false" customHeight="false" outlineLevel="0" collapsed="false">
      <c r="A142" s="4" t="n">
        <v>2022</v>
      </c>
      <c r="B142" s="4" t="n">
        <v>19</v>
      </c>
      <c r="C142" s="4" t="s">
        <v>131</v>
      </c>
      <c r="D142" s="4" t="s">
        <v>105</v>
      </c>
      <c r="E142" s="4" t="s">
        <v>116</v>
      </c>
      <c r="F142" s="4" t="n">
        <v>2</v>
      </c>
      <c r="G142" s="4" t="s">
        <v>116</v>
      </c>
      <c r="H142" s="5" t="n">
        <v>0.3848</v>
      </c>
      <c r="I142" s="4" t="s">
        <v>142</v>
      </c>
      <c r="J142" s="4" t="s">
        <v>139</v>
      </c>
      <c r="K142" s="5" t="n">
        <v>0.3848</v>
      </c>
      <c r="L142" s="4" t="n">
        <f aca="false">IF(G142=$E142,1,0)</f>
        <v>1</v>
      </c>
      <c r="M142" s="4" t="n">
        <f aca="false">IF(OR(G142=$E142,I142=$E142,J142=$E142),1,0)</f>
        <v>1</v>
      </c>
      <c r="N142" s="4" t="n">
        <v>2</v>
      </c>
      <c r="O142" s="9" t="n">
        <f aca="false">-LN(MAX(K142,0.0001))</f>
        <v>0.955031560190586</v>
      </c>
      <c r="P142" s="4" t="s">
        <v>116</v>
      </c>
      <c r="Q142" s="5" t="n">
        <v>0.4574</v>
      </c>
      <c r="R142" s="4" t="s">
        <v>143</v>
      </c>
      <c r="S142" s="4" t="s">
        <v>139</v>
      </c>
      <c r="T142" s="5" t="n">
        <v>0.4574</v>
      </c>
      <c r="U142" s="4" t="n">
        <f aca="false">IF(P142=$E142,1,0)</f>
        <v>1</v>
      </c>
      <c r="V142" s="4" t="n">
        <f aca="false">IF(OR(P142=$E142,R142=$E142,S142=$E142),1,0)</f>
        <v>1</v>
      </c>
      <c r="W142" s="4" t="n">
        <v>2</v>
      </c>
      <c r="X142" s="9" t="n">
        <f aca="false">-LN(MAX(T142,0.0001))</f>
        <v>0.782196997393456</v>
      </c>
      <c r="Y142" s="4" t="s">
        <v>142</v>
      </c>
      <c r="Z142" s="5" t="n">
        <v>0.46294</v>
      </c>
      <c r="AA142" s="4" t="s">
        <v>116</v>
      </c>
      <c r="AB142" s="4" t="s">
        <v>107</v>
      </c>
      <c r="AC142" s="5" t="n">
        <v>0.23194</v>
      </c>
      <c r="AD142" s="4" t="n">
        <f aca="false">IF(Y142=$E142,1,0)</f>
        <v>0</v>
      </c>
      <c r="AE142" s="4" t="n">
        <f aca="false">IF(OR(Y142=$E142,AA142=$E142,AB142=$E142),1,0)</f>
        <v>1</v>
      </c>
      <c r="AF142" s="4" t="n">
        <v>2</v>
      </c>
      <c r="AG142" s="9" t="n">
        <f aca="false">-LN(MAX(AC142,0.0001))</f>
        <v>1.46127656145358</v>
      </c>
    </row>
    <row r="143" customFormat="false" ht="15" hidden="false" customHeight="false" outlineLevel="0" collapsed="false">
      <c r="A143" s="4" t="n">
        <v>2022</v>
      </c>
      <c r="B143" s="4" t="n">
        <v>20</v>
      </c>
      <c r="C143" s="4" t="s">
        <v>155</v>
      </c>
      <c r="D143" s="4" t="s">
        <v>105</v>
      </c>
      <c r="E143" s="4" t="s">
        <v>116</v>
      </c>
      <c r="F143" s="4" t="n">
        <v>1</v>
      </c>
      <c r="G143" s="4" t="s">
        <v>116</v>
      </c>
      <c r="H143" s="5" t="n">
        <v>0.60944</v>
      </c>
      <c r="I143" s="4" t="s">
        <v>139</v>
      </c>
      <c r="J143" s="4" t="s">
        <v>143</v>
      </c>
      <c r="K143" s="5" t="n">
        <v>0.60944</v>
      </c>
      <c r="L143" s="4" t="n">
        <f aca="false">IF(G143=$E143,1,0)</f>
        <v>1</v>
      </c>
      <c r="M143" s="4" t="n">
        <f aca="false">IF(OR(G143=$E143,I143=$E143,J143=$E143),1,0)</f>
        <v>1</v>
      </c>
      <c r="N143" s="4" t="n">
        <v>2</v>
      </c>
      <c r="O143" s="9" t="n">
        <f aca="false">-LN(MAX(K143,0.0001))</f>
        <v>0.495214776251843</v>
      </c>
      <c r="P143" s="4" t="s">
        <v>116</v>
      </c>
      <c r="Q143" s="5" t="n">
        <v>0.47148</v>
      </c>
      <c r="R143" s="4" t="s">
        <v>139</v>
      </c>
      <c r="S143" s="4" t="s">
        <v>143</v>
      </c>
      <c r="T143" s="5" t="n">
        <v>0.47148</v>
      </c>
      <c r="U143" s="4" t="n">
        <f aca="false">IF(P143=$E143,1,0)</f>
        <v>1</v>
      </c>
      <c r="V143" s="4" t="n">
        <f aca="false">IF(OR(P143=$E143,R143=$E143,S143=$E143),1,0)</f>
        <v>1</v>
      </c>
      <c r="W143" s="4" t="n">
        <v>2</v>
      </c>
      <c r="X143" s="9" t="n">
        <f aca="false">-LN(MAX(T143,0.0001))</f>
        <v>0.751878595623768</v>
      </c>
      <c r="Y143" s="4" t="s">
        <v>116</v>
      </c>
      <c r="Z143" s="5" t="n">
        <v>0.54212</v>
      </c>
      <c r="AA143" s="4" t="s">
        <v>152</v>
      </c>
      <c r="AB143" s="4" t="s">
        <v>107</v>
      </c>
      <c r="AC143" s="5" t="n">
        <v>0.54212</v>
      </c>
      <c r="AD143" s="4" t="n">
        <f aca="false">IF(Y143=$E143,1,0)</f>
        <v>1</v>
      </c>
      <c r="AE143" s="4" t="n">
        <f aca="false">IF(OR(Y143=$E143,AA143=$E143,AB143=$E143),1,0)</f>
        <v>1</v>
      </c>
      <c r="AF143" s="4" t="n">
        <v>2</v>
      </c>
      <c r="AG143" s="9" t="n">
        <f aca="false">-LN(MAX(AC143,0.0001))</f>
        <v>0.612267899834322</v>
      </c>
    </row>
    <row r="144" customFormat="false" ht="15" hidden="false" customHeight="false" outlineLevel="0" collapsed="false">
      <c r="A144" s="4" t="n">
        <v>2022</v>
      </c>
      <c r="B144" s="4" t="n">
        <v>21</v>
      </c>
      <c r="C144" s="4" t="s">
        <v>156</v>
      </c>
      <c r="D144" s="4" t="s">
        <v>105</v>
      </c>
      <c r="E144" s="4" t="s">
        <v>152</v>
      </c>
      <c r="F144" s="4" t="n">
        <v>1</v>
      </c>
      <c r="G144" s="4" t="s">
        <v>152</v>
      </c>
      <c r="H144" s="5" t="n">
        <v>0.38566</v>
      </c>
      <c r="I144" s="4" t="s">
        <v>116</v>
      </c>
      <c r="J144" s="4" t="s">
        <v>139</v>
      </c>
      <c r="K144" s="5" t="n">
        <v>0.38566</v>
      </c>
      <c r="L144" s="4" t="n">
        <f aca="false">IF(G144=$E144,1,0)</f>
        <v>1</v>
      </c>
      <c r="M144" s="4" t="n">
        <f aca="false">IF(OR(G144=$E144,I144=$E144,J144=$E144),1,0)</f>
        <v>1</v>
      </c>
      <c r="N144" s="4" t="n">
        <v>2</v>
      </c>
      <c r="O144" s="9" t="n">
        <f aca="false">-LN(MAX(K144,0.0001))</f>
        <v>0.952799126690678</v>
      </c>
      <c r="P144" s="4" t="s">
        <v>116</v>
      </c>
      <c r="Q144" s="5" t="n">
        <v>0.50032</v>
      </c>
      <c r="R144" s="4" t="s">
        <v>143</v>
      </c>
      <c r="S144" s="4" t="s">
        <v>139</v>
      </c>
      <c r="T144" s="5" t="n">
        <v>0.02658</v>
      </c>
      <c r="U144" s="4" t="n">
        <f aca="false">IF(P144=$E144,1,0)</f>
        <v>0</v>
      </c>
      <c r="V144" s="4" t="n">
        <f aca="false">IF(OR(P144=$E144,R144=$E144,S144=$E144),1,0)</f>
        <v>0</v>
      </c>
      <c r="W144" s="4" t="n">
        <v>1</v>
      </c>
      <c r="X144" s="9" t="n">
        <f aca="false">-LN(MAX(T144,0.0001))</f>
        <v>3.62759622569704</v>
      </c>
      <c r="Y144" s="4" t="s">
        <v>152</v>
      </c>
      <c r="Z144" s="5" t="n">
        <v>0.53764</v>
      </c>
      <c r="AA144" s="4" t="s">
        <v>107</v>
      </c>
      <c r="AB144" s="4" t="s">
        <v>116</v>
      </c>
      <c r="AC144" s="5" t="n">
        <v>0.53764</v>
      </c>
      <c r="AD144" s="4" t="n">
        <f aca="false">IF(Y144=$E144,1,0)</f>
        <v>1</v>
      </c>
      <c r="AE144" s="4" t="n">
        <f aca="false">IF(OR(Y144=$E144,AA144=$E144,AB144=$E144),1,0)</f>
        <v>1</v>
      </c>
      <c r="AF144" s="4" t="n">
        <v>2</v>
      </c>
      <c r="AG144" s="9" t="n">
        <f aca="false">-LN(MAX(AC144,0.0001))</f>
        <v>0.62056608777919</v>
      </c>
    </row>
    <row r="145" customFormat="false" ht="15" hidden="false" customHeight="false" outlineLevel="0" collapsed="false">
      <c r="A145" s="4" t="n">
        <v>2022</v>
      </c>
      <c r="B145" s="4" t="n">
        <v>22</v>
      </c>
      <c r="C145" s="4" t="s">
        <v>134</v>
      </c>
      <c r="D145" s="4" t="s">
        <v>105</v>
      </c>
      <c r="E145" s="4" t="s">
        <v>116</v>
      </c>
      <c r="F145" s="4" t="n">
        <v>1</v>
      </c>
      <c r="G145" s="4" t="s">
        <v>116</v>
      </c>
      <c r="H145" s="5" t="n">
        <v>0.45444</v>
      </c>
      <c r="I145" s="4" t="s">
        <v>139</v>
      </c>
      <c r="J145" s="4" t="s">
        <v>143</v>
      </c>
      <c r="K145" s="5" t="n">
        <v>0.45444</v>
      </c>
      <c r="L145" s="4" t="n">
        <f aca="false">IF(G145=$E145,1,0)</f>
        <v>1</v>
      </c>
      <c r="M145" s="4" t="n">
        <f aca="false">IF(OR(G145=$E145,I145=$E145,J145=$E145),1,0)</f>
        <v>1</v>
      </c>
      <c r="N145" s="4" t="n">
        <v>3</v>
      </c>
      <c r="O145" s="9" t="n">
        <f aca="false">-LN(MAX(K145,0.0001))</f>
        <v>0.788689387280433</v>
      </c>
      <c r="P145" s="4" t="s">
        <v>116</v>
      </c>
      <c r="Q145" s="5" t="n">
        <v>0.41066</v>
      </c>
      <c r="R145" s="4" t="s">
        <v>143</v>
      </c>
      <c r="S145" s="4" t="s">
        <v>139</v>
      </c>
      <c r="T145" s="5" t="n">
        <v>0.41066</v>
      </c>
      <c r="U145" s="4" t="n">
        <f aca="false">IF(P145=$E145,1,0)</f>
        <v>1</v>
      </c>
      <c r="V145" s="4" t="n">
        <f aca="false">IF(OR(P145=$E145,R145=$E145,S145=$E145),1,0)</f>
        <v>1</v>
      </c>
      <c r="W145" s="4" t="n">
        <v>2</v>
      </c>
      <c r="X145" s="9" t="n">
        <f aca="false">-LN(MAX(T145,0.0001))</f>
        <v>0.889989657454784</v>
      </c>
      <c r="Y145" s="4" t="s">
        <v>116</v>
      </c>
      <c r="Z145" s="5" t="n">
        <v>0.54164</v>
      </c>
      <c r="AA145" s="4" t="s">
        <v>143</v>
      </c>
      <c r="AB145" s="4" t="s">
        <v>139</v>
      </c>
      <c r="AC145" s="5" t="n">
        <v>0.54164</v>
      </c>
      <c r="AD145" s="4" t="n">
        <f aca="false">IF(Y145=$E145,1,0)</f>
        <v>1</v>
      </c>
      <c r="AE145" s="4" t="n">
        <f aca="false">IF(OR(Y145=$E145,AA145=$E145,AB145=$E145),1,0)</f>
        <v>1</v>
      </c>
      <c r="AF145" s="4" t="n">
        <v>3</v>
      </c>
      <c r="AG145" s="9" t="n">
        <f aca="false">-LN(MAX(AC145,0.0001))</f>
        <v>0.613153704867514</v>
      </c>
    </row>
    <row r="146" customFormat="false" ht="15" hidden="false" customHeight="false" outlineLevel="0" collapsed="false">
      <c r="A146" s="4" t="n">
        <v>2023</v>
      </c>
      <c r="B146" s="4" t="n">
        <v>1</v>
      </c>
      <c r="C146" s="4" t="s">
        <v>109</v>
      </c>
      <c r="D146" s="4" t="s">
        <v>105</v>
      </c>
      <c r="E146" s="4" t="s">
        <v>116</v>
      </c>
      <c r="F146" s="4" t="n">
        <v>1</v>
      </c>
      <c r="G146" s="4" t="s">
        <v>116</v>
      </c>
      <c r="H146" s="5" t="n">
        <v>0.39744</v>
      </c>
      <c r="I146" s="4" t="s">
        <v>143</v>
      </c>
      <c r="J146" s="4" t="s">
        <v>139</v>
      </c>
      <c r="K146" s="5" t="n">
        <v>0.39744</v>
      </c>
      <c r="L146" s="4" t="n">
        <f aca="false">IF(G146=$E146,1,0)</f>
        <v>1</v>
      </c>
      <c r="M146" s="4" t="n">
        <f aca="false">IF(OR(G146=$E146,I146=$E146,J146=$E146),1,0)</f>
        <v>1</v>
      </c>
      <c r="N146" s="4" t="n">
        <v>2</v>
      </c>
      <c r="O146" s="9" t="n">
        <f aca="false">-LN(MAX(K146,0.0001))</f>
        <v>0.922711299677078</v>
      </c>
      <c r="P146" s="4" t="s">
        <v>116</v>
      </c>
      <c r="Q146" s="5" t="n">
        <v>0.31834</v>
      </c>
      <c r="R146" s="4" t="s">
        <v>143</v>
      </c>
      <c r="S146" s="4" t="s">
        <v>139</v>
      </c>
      <c r="T146" s="5" t="n">
        <v>0.31834</v>
      </c>
      <c r="U146" s="4" t="n">
        <f aca="false">IF(P146=$E146,1,0)</f>
        <v>1</v>
      </c>
      <c r="V146" s="4" t="n">
        <f aca="false">IF(OR(P146=$E146,R146=$E146,S146=$E146),1,0)</f>
        <v>1</v>
      </c>
      <c r="W146" s="4" t="n">
        <v>2</v>
      </c>
      <c r="X146" s="9" t="n">
        <f aca="false">-LN(MAX(T146,0.0001))</f>
        <v>1.14463528498043</v>
      </c>
      <c r="Y146" s="4" t="s">
        <v>116</v>
      </c>
      <c r="Z146" s="5" t="n">
        <v>0.54192</v>
      </c>
      <c r="AA146" s="4" t="s">
        <v>143</v>
      </c>
      <c r="AB146" s="4" t="s">
        <v>139</v>
      </c>
      <c r="AC146" s="5" t="n">
        <v>0.54192</v>
      </c>
      <c r="AD146" s="4" t="n">
        <f aca="false">IF(Y146=$E146,1,0)</f>
        <v>1</v>
      </c>
      <c r="AE146" s="4" t="n">
        <f aca="false">IF(OR(Y146=$E146,AA146=$E146,AB146=$E146),1,0)</f>
        <v>1</v>
      </c>
      <c r="AF146" s="4" t="n">
        <v>2</v>
      </c>
      <c r="AG146" s="9" t="n">
        <f aca="false">-LN(MAX(AC146,0.0001))</f>
        <v>0.612636889912676</v>
      </c>
    </row>
    <row r="147" customFormat="false" ht="15" hidden="false" customHeight="false" outlineLevel="0" collapsed="false">
      <c r="A147" s="4" t="n">
        <v>2023</v>
      </c>
      <c r="B147" s="4" t="n">
        <v>2</v>
      </c>
      <c r="C147" s="4" t="s">
        <v>159</v>
      </c>
      <c r="D147" s="4" t="s">
        <v>105</v>
      </c>
      <c r="E147" s="4" t="s">
        <v>143</v>
      </c>
      <c r="F147" s="4" t="n">
        <v>1</v>
      </c>
      <c r="G147" s="4" t="s">
        <v>143</v>
      </c>
      <c r="H147" s="5" t="n">
        <v>0.56554</v>
      </c>
      <c r="I147" s="4" t="s">
        <v>142</v>
      </c>
      <c r="J147" s="4" t="s">
        <v>158</v>
      </c>
      <c r="K147" s="5" t="n">
        <v>0.56554</v>
      </c>
      <c r="L147" s="4" t="n">
        <f aca="false">IF(G147=$E147,1,0)</f>
        <v>1</v>
      </c>
      <c r="M147" s="4" t="n">
        <f aca="false">IF(OR(G147=$E147,I147=$E147,J147=$E147),1,0)</f>
        <v>1</v>
      </c>
      <c r="N147" s="4" t="n">
        <v>2</v>
      </c>
      <c r="O147" s="9" t="n">
        <f aca="false">-LN(MAX(K147,0.0001))</f>
        <v>0.569974252063646</v>
      </c>
      <c r="P147" s="4" t="s">
        <v>116</v>
      </c>
      <c r="Q147" s="5" t="n">
        <v>0.42578</v>
      </c>
      <c r="R147" s="4" t="s">
        <v>143</v>
      </c>
      <c r="S147" s="4" t="s">
        <v>142</v>
      </c>
      <c r="T147" s="5" t="n">
        <v>0.18168</v>
      </c>
      <c r="U147" s="4" t="n">
        <f aca="false">IF(P147=$E147,1,0)</f>
        <v>0</v>
      </c>
      <c r="V147" s="4" t="n">
        <f aca="false">IF(OR(P147=$E147,R147=$E147,S147=$E147),1,0)</f>
        <v>1</v>
      </c>
      <c r="W147" s="4" t="n">
        <v>2</v>
      </c>
      <c r="X147" s="9" t="n">
        <f aca="false">-LN(MAX(T147,0.0001))</f>
        <v>1.70550838118483</v>
      </c>
      <c r="Y147" s="4" t="s">
        <v>143</v>
      </c>
      <c r="Z147" s="5" t="n">
        <v>0.54164</v>
      </c>
      <c r="AA147" s="4" t="s">
        <v>158</v>
      </c>
      <c r="AB147" s="4" t="s">
        <v>152</v>
      </c>
      <c r="AC147" s="5" t="n">
        <v>0.54164</v>
      </c>
      <c r="AD147" s="4" t="n">
        <f aca="false">IF(Y147=$E147,1,0)</f>
        <v>1</v>
      </c>
      <c r="AE147" s="4" t="n">
        <f aca="false">IF(OR(Y147=$E147,AA147=$E147,AB147=$E147),1,0)</f>
        <v>1</v>
      </c>
      <c r="AF147" s="4" t="n">
        <v>2</v>
      </c>
      <c r="AG147" s="9" t="n">
        <f aca="false">-LN(MAX(AC147,0.0001))</f>
        <v>0.613153704867514</v>
      </c>
    </row>
    <row r="148" customFormat="false" ht="15" hidden="false" customHeight="false" outlineLevel="0" collapsed="false">
      <c r="A148" s="4" t="n">
        <v>2023</v>
      </c>
      <c r="B148" s="4" t="n">
        <v>3</v>
      </c>
      <c r="C148" s="4" t="s">
        <v>104</v>
      </c>
      <c r="D148" s="4" t="s">
        <v>105</v>
      </c>
      <c r="E148" s="4" t="s">
        <v>116</v>
      </c>
      <c r="F148" s="4" t="n">
        <v>1</v>
      </c>
      <c r="G148" s="4" t="s">
        <v>116</v>
      </c>
      <c r="H148" s="5" t="n">
        <v>0.71352</v>
      </c>
      <c r="I148" s="4" t="s">
        <v>158</v>
      </c>
      <c r="J148" s="4" t="s">
        <v>152</v>
      </c>
      <c r="K148" s="5" t="n">
        <v>0.71352</v>
      </c>
      <c r="L148" s="4" t="n">
        <f aca="false">IF(G148=$E148,1,0)</f>
        <v>1</v>
      </c>
      <c r="M148" s="4" t="n">
        <f aca="false">IF(OR(G148=$E148,I148=$E148,J148=$E148),1,0)</f>
        <v>1</v>
      </c>
      <c r="N148" s="4" t="n">
        <v>2</v>
      </c>
      <c r="O148" s="9" t="n">
        <f aca="false">-LN(MAX(K148,0.0001))</f>
        <v>0.337544811624185</v>
      </c>
      <c r="P148" s="4" t="s">
        <v>116</v>
      </c>
      <c r="Q148" s="5" t="n">
        <v>0.44254</v>
      </c>
      <c r="R148" s="4" t="s">
        <v>143</v>
      </c>
      <c r="S148" s="4" t="s">
        <v>142</v>
      </c>
      <c r="T148" s="5" t="n">
        <v>0.44254</v>
      </c>
      <c r="U148" s="4" t="n">
        <f aca="false">IF(P148=$E148,1,0)</f>
        <v>1</v>
      </c>
      <c r="V148" s="4" t="n">
        <f aca="false">IF(OR(P148=$E148,R148=$E148,S148=$E148),1,0)</f>
        <v>1</v>
      </c>
      <c r="W148" s="4" t="n">
        <v>1</v>
      </c>
      <c r="X148" s="9" t="n">
        <f aca="false">-LN(MAX(T148,0.0001))</f>
        <v>0.815224423139352</v>
      </c>
      <c r="Y148" s="4" t="s">
        <v>116</v>
      </c>
      <c r="Z148" s="5" t="n">
        <v>0.55592</v>
      </c>
      <c r="AA148" s="4" t="s">
        <v>152</v>
      </c>
      <c r="AB148" s="4" t="s">
        <v>107</v>
      </c>
      <c r="AC148" s="5" t="n">
        <v>0.55592</v>
      </c>
      <c r="AD148" s="4" t="n">
        <f aca="false">IF(Y148=$E148,1,0)</f>
        <v>1</v>
      </c>
      <c r="AE148" s="4" t="n">
        <f aca="false">IF(OR(Y148=$E148,AA148=$E148,AB148=$E148),1,0)</f>
        <v>1</v>
      </c>
      <c r="AF148" s="4" t="n">
        <v>2</v>
      </c>
      <c r="AG148" s="9" t="n">
        <f aca="false">-LN(MAX(AC148,0.0001))</f>
        <v>0.587130879976065</v>
      </c>
    </row>
    <row r="149" customFormat="false" ht="15" hidden="false" customHeight="false" outlineLevel="0" collapsed="false">
      <c r="A149" s="4" t="n">
        <v>2023</v>
      </c>
      <c r="B149" s="4" t="n">
        <v>4</v>
      </c>
      <c r="C149" s="4" t="s">
        <v>135</v>
      </c>
      <c r="D149" s="4" t="s">
        <v>105</v>
      </c>
      <c r="E149" s="4" t="s">
        <v>143</v>
      </c>
      <c r="F149" s="4" t="n">
        <v>3</v>
      </c>
      <c r="G149" s="4" t="s">
        <v>143</v>
      </c>
      <c r="H149" s="5" t="n">
        <v>0.44632</v>
      </c>
      <c r="I149" s="4" t="s">
        <v>116</v>
      </c>
      <c r="J149" s="4" t="s">
        <v>139</v>
      </c>
      <c r="K149" s="5" t="n">
        <v>0.44632</v>
      </c>
      <c r="L149" s="4" t="n">
        <f aca="false">IF(G149=$E149,1,0)</f>
        <v>1</v>
      </c>
      <c r="M149" s="4" t="n">
        <f aca="false">IF(OR(G149=$E149,I149=$E149,J149=$E149),1,0)</f>
        <v>1</v>
      </c>
      <c r="N149" s="4" t="n">
        <v>3</v>
      </c>
      <c r="O149" s="9" t="n">
        <f aca="false">-LN(MAX(K149,0.0001))</f>
        <v>0.806719095444864</v>
      </c>
      <c r="P149" s="4" t="s">
        <v>116</v>
      </c>
      <c r="Q149" s="5" t="n">
        <v>0.51524</v>
      </c>
      <c r="R149" s="4" t="s">
        <v>143</v>
      </c>
      <c r="S149" s="4" t="s">
        <v>107</v>
      </c>
      <c r="T149" s="5" t="n">
        <v>0.19996</v>
      </c>
      <c r="U149" s="4" t="n">
        <f aca="false">IF(P149=$E149,1,0)</f>
        <v>0</v>
      </c>
      <c r="V149" s="4" t="n">
        <f aca="false">IF(OR(P149=$E149,R149=$E149,S149=$E149),1,0)</f>
        <v>1</v>
      </c>
      <c r="W149" s="4" t="n">
        <v>2</v>
      </c>
      <c r="X149" s="9" t="n">
        <f aca="false">-LN(MAX(T149,0.0001))</f>
        <v>1.60963793243677</v>
      </c>
      <c r="Y149" s="4" t="s">
        <v>139</v>
      </c>
      <c r="Z149" s="5" t="n">
        <v>0.47764</v>
      </c>
      <c r="AA149" s="4" t="s">
        <v>116</v>
      </c>
      <c r="AB149" s="4" t="s">
        <v>143</v>
      </c>
      <c r="AC149" s="5" t="n">
        <v>0.1013</v>
      </c>
      <c r="AD149" s="4" t="n">
        <f aca="false">IF(Y149=$E149,1,0)</f>
        <v>0</v>
      </c>
      <c r="AE149" s="4" t="n">
        <f aca="false">IF(OR(Y149=$E149,AA149=$E149,AB149=$E149),1,0)</f>
        <v>1</v>
      </c>
      <c r="AF149" s="4" t="n">
        <v>3</v>
      </c>
      <c r="AG149" s="9" t="n">
        <f aca="false">-LN(MAX(AC149,0.0001))</f>
        <v>2.2896688677275</v>
      </c>
    </row>
    <row r="150" customFormat="false" ht="15" hidden="false" customHeight="false" outlineLevel="0" collapsed="false">
      <c r="A150" s="4" t="n">
        <v>2023</v>
      </c>
      <c r="B150" s="4" t="n">
        <v>5</v>
      </c>
      <c r="C150" s="4" t="s">
        <v>160</v>
      </c>
      <c r="D150" s="4" t="s">
        <v>105</v>
      </c>
      <c r="E150" s="4" t="s">
        <v>116</v>
      </c>
      <c r="F150" s="4" t="n">
        <v>9</v>
      </c>
      <c r="G150" s="4" t="s">
        <v>143</v>
      </c>
      <c r="H150" s="5" t="n">
        <v>0.69354</v>
      </c>
      <c r="I150" s="4" t="s">
        <v>116</v>
      </c>
      <c r="J150" s="4" t="s">
        <v>158</v>
      </c>
      <c r="K150" s="5" t="n">
        <v>0.10556</v>
      </c>
      <c r="L150" s="4" t="n">
        <f aca="false">IF(G150=$E150,1,0)</f>
        <v>0</v>
      </c>
      <c r="M150" s="4" t="n">
        <f aca="false">IF(OR(G150=$E150,I150=$E150,J150=$E150),1,0)</f>
        <v>1</v>
      </c>
      <c r="N150" s="4" t="n">
        <v>3</v>
      </c>
      <c r="O150" s="9" t="n">
        <f aca="false">-LN(MAX(K150,0.0001))</f>
        <v>2.24847576734701</v>
      </c>
      <c r="P150" s="4" t="s">
        <v>116</v>
      </c>
      <c r="Q150" s="5" t="n">
        <v>0.50338</v>
      </c>
      <c r="R150" s="4" t="s">
        <v>143</v>
      </c>
      <c r="S150" s="4" t="s">
        <v>107</v>
      </c>
      <c r="T150" s="5" t="n">
        <v>0.50338</v>
      </c>
      <c r="U150" s="4" t="n">
        <f aca="false">IF(P150=$E150,1,0)</f>
        <v>1</v>
      </c>
      <c r="V150" s="4" t="n">
        <f aca="false">IF(OR(P150=$E150,R150=$E150,S150=$E150),1,0)</f>
        <v>1</v>
      </c>
      <c r="W150" s="4" t="n">
        <v>2</v>
      </c>
      <c r="X150" s="9" t="n">
        <f aca="false">-LN(MAX(T150,0.0001))</f>
        <v>0.68640992690728</v>
      </c>
      <c r="Y150" s="4" t="s">
        <v>143</v>
      </c>
      <c r="Z150" s="5" t="n">
        <v>0.57858</v>
      </c>
      <c r="AA150" s="4" t="s">
        <v>158</v>
      </c>
      <c r="AB150" s="4" t="s">
        <v>142</v>
      </c>
      <c r="AC150" s="5" t="n">
        <v>0.00942</v>
      </c>
      <c r="AD150" s="4" t="n">
        <f aca="false">IF(Y150=$E150,1,0)</f>
        <v>0</v>
      </c>
      <c r="AE150" s="4" t="n">
        <f aca="false">IF(OR(Y150=$E150,AA150=$E150,AB150=$E150),1,0)</f>
        <v>0</v>
      </c>
      <c r="AF150" s="4" t="n">
        <v>2</v>
      </c>
      <c r="AG150" s="9" t="n">
        <f aca="false">-LN(MAX(AC150,0.0001))</f>
        <v>4.66492019039387</v>
      </c>
    </row>
    <row r="151" customFormat="false" ht="15" hidden="false" customHeight="false" outlineLevel="0" collapsed="false">
      <c r="A151" s="4" t="n">
        <v>2023</v>
      </c>
      <c r="B151" s="4" t="n">
        <v>6</v>
      </c>
      <c r="C151" s="4" t="s">
        <v>117</v>
      </c>
      <c r="D151" s="4" t="s">
        <v>105</v>
      </c>
      <c r="E151" s="4" t="s">
        <v>116</v>
      </c>
      <c r="F151" s="4" t="n">
        <v>1</v>
      </c>
      <c r="G151" s="4" t="s">
        <v>116</v>
      </c>
      <c r="H151" s="5" t="n">
        <v>0.74664</v>
      </c>
      <c r="I151" s="4" t="s">
        <v>158</v>
      </c>
      <c r="J151" s="4" t="s">
        <v>142</v>
      </c>
      <c r="K151" s="5" t="n">
        <v>0.74664</v>
      </c>
      <c r="L151" s="4" t="n">
        <f aca="false">IF(G151=$E151,1,0)</f>
        <v>1</v>
      </c>
      <c r="M151" s="4" t="n">
        <f aca="false">IF(OR(G151=$E151,I151=$E151,J151=$E151),1,0)</f>
        <v>1</v>
      </c>
      <c r="N151" s="4" t="n">
        <v>2</v>
      </c>
      <c r="O151" s="9" t="n">
        <f aca="false">-LN(MAX(K151,0.0001))</f>
        <v>0.292172137724646</v>
      </c>
      <c r="P151" s="4" t="s">
        <v>116</v>
      </c>
      <c r="Q151" s="5" t="n">
        <v>0.51488</v>
      </c>
      <c r="R151" s="4" t="s">
        <v>143</v>
      </c>
      <c r="S151" s="4" t="s">
        <v>107</v>
      </c>
      <c r="T151" s="5" t="n">
        <v>0.51488</v>
      </c>
      <c r="U151" s="4" t="n">
        <f aca="false">IF(P151=$E151,1,0)</f>
        <v>1</v>
      </c>
      <c r="V151" s="4" t="n">
        <f aca="false">IF(OR(P151=$E151,R151=$E151,S151=$E151),1,0)</f>
        <v>1</v>
      </c>
      <c r="W151" s="4" t="n">
        <v>1</v>
      </c>
      <c r="X151" s="9" t="n">
        <f aca="false">-LN(MAX(T151,0.0001))</f>
        <v>0.663821415178119</v>
      </c>
      <c r="Y151" s="4" t="s">
        <v>116</v>
      </c>
      <c r="Z151" s="5" t="n">
        <v>0.57618</v>
      </c>
      <c r="AA151" s="4" t="s">
        <v>158</v>
      </c>
      <c r="AB151" s="4" t="s">
        <v>137</v>
      </c>
      <c r="AC151" s="5" t="n">
        <v>0.57618</v>
      </c>
      <c r="AD151" s="4" t="n">
        <f aca="false">IF(Y151=$E151,1,0)</f>
        <v>1</v>
      </c>
      <c r="AE151" s="4" t="n">
        <f aca="false">IF(OR(Y151=$E151,AA151=$E151,AB151=$E151),1,0)</f>
        <v>1</v>
      </c>
      <c r="AF151" s="4" t="n">
        <v>3</v>
      </c>
      <c r="AG151" s="9" t="n">
        <f aca="false">-LN(MAX(AC151,0.0001))</f>
        <v>0.551335167104201</v>
      </c>
    </row>
    <row r="152" customFormat="false" ht="15" hidden="false" customHeight="false" outlineLevel="0" collapsed="false">
      <c r="A152" s="4" t="n">
        <v>2023</v>
      </c>
      <c r="B152" s="4" t="n">
        <v>7</v>
      </c>
      <c r="C152" s="4" t="s">
        <v>115</v>
      </c>
      <c r="D152" s="4" t="s">
        <v>105</v>
      </c>
      <c r="E152" s="4" t="s">
        <v>116</v>
      </c>
      <c r="F152" s="4" t="n">
        <v>1</v>
      </c>
      <c r="G152" s="4" t="s">
        <v>116</v>
      </c>
      <c r="H152" s="5" t="n">
        <v>0.76372</v>
      </c>
      <c r="I152" s="4" t="s">
        <v>142</v>
      </c>
      <c r="J152" s="4" t="s">
        <v>107</v>
      </c>
      <c r="K152" s="5" t="n">
        <v>0.76372</v>
      </c>
      <c r="L152" s="4" t="n">
        <f aca="false">IF(G152=$E152,1,0)</f>
        <v>1</v>
      </c>
      <c r="M152" s="4" t="n">
        <f aca="false">IF(OR(G152=$E152,I152=$E152,J152=$E152),1,0)</f>
        <v>1</v>
      </c>
      <c r="N152" s="4" t="n">
        <v>2</v>
      </c>
      <c r="O152" s="9" t="n">
        <f aca="false">-LN(MAX(K152,0.0001))</f>
        <v>0.269554049136873</v>
      </c>
      <c r="P152" s="4" t="s">
        <v>116</v>
      </c>
      <c r="Q152" s="5" t="n">
        <v>0.57436</v>
      </c>
      <c r="R152" s="4" t="s">
        <v>143</v>
      </c>
      <c r="S152" s="4" t="s">
        <v>107</v>
      </c>
      <c r="T152" s="5" t="n">
        <v>0.57436</v>
      </c>
      <c r="U152" s="4" t="n">
        <f aca="false">IF(P152=$E152,1,0)</f>
        <v>1</v>
      </c>
      <c r="V152" s="4" t="n">
        <f aca="false">IF(OR(P152=$E152,R152=$E152,S152=$E152),1,0)</f>
        <v>1</v>
      </c>
      <c r="W152" s="4" t="n">
        <v>2</v>
      </c>
      <c r="X152" s="9" t="n">
        <f aca="false">-LN(MAX(T152,0.0001))</f>
        <v>0.554498901555961</v>
      </c>
      <c r="Y152" s="4" t="s">
        <v>116</v>
      </c>
      <c r="Z152" s="5" t="n">
        <v>0.57436</v>
      </c>
      <c r="AA152" s="4" t="s">
        <v>142</v>
      </c>
      <c r="AB152" s="4" t="s">
        <v>140</v>
      </c>
      <c r="AC152" s="5" t="n">
        <v>0.57436</v>
      </c>
      <c r="AD152" s="4" t="n">
        <f aca="false">IF(Y152=$E152,1,0)</f>
        <v>1</v>
      </c>
      <c r="AE152" s="4" t="n">
        <f aca="false">IF(OR(Y152=$E152,AA152=$E152,AB152=$E152),1,0)</f>
        <v>1</v>
      </c>
      <c r="AF152" s="4" t="n">
        <v>1</v>
      </c>
      <c r="AG152" s="9" t="n">
        <f aca="false">-LN(MAX(AC152,0.0001))</f>
        <v>0.554498901555961</v>
      </c>
    </row>
    <row r="153" customFormat="false" ht="15" hidden="false" customHeight="false" outlineLevel="0" collapsed="false">
      <c r="A153" s="4" t="n">
        <v>2023</v>
      </c>
      <c r="B153" s="4" t="n">
        <v>8</v>
      </c>
      <c r="C153" s="4" t="s">
        <v>118</v>
      </c>
      <c r="D153" s="4" t="s">
        <v>105</v>
      </c>
      <c r="E153" s="4" t="s">
        <v>116</v>
      </c>
      <c r="F153" s="4" t="n">
        <v>1</v>
      </c>
      <c r="G153" s="4" t="s">
        <v>116</v>
      </c>
      <c r="H153" s="5" t="n">
        <v>0.78048</v>
      </c>
      <c r="I153" s="4" t="s">
        <v>158</v>
      </c>
      <c r="J153" s="4" t="s">
        <v>107</v>
      </c>
      <c r="K153" s="5" t="n">
        <v>0.78048</v>
      </c>
      <c r="L153" s="4" t="n">
        <f aca="false">IF(G153=$E153,1,0)</f>
        <v>1</v>
      </c>
      <c r="M153" s="4" t="n">
        <f aca="false">IF(OR(G153=$E153,I153=$E153,J153=$E153),1,0)</f>
        <v>1</v>
      </c>
      <c r="N153" s="4" t="n">
        <v>3</v>
      </c>
      <c r="O153" s="9" t="n">
        <f aca="false">-LN(MAX(K153,0.0001))</f>
        <v>0.247846163954582</v>
      </c>
      <c r="P153" s="4" t="s">
        <v>116</v>
      </c>
      <c r="Q153" s="5" t="n">
        <v>0.58322</v>
      </c>
      <c r="R153" s="4" t="s">
        <v>143</v>
      </c>
      <c r="S153" s="4" t="s">
        <v>107</v>
      </c>
      <c r="T153" s="5" t="n">
        <v>0.58322</v>
      </c>
      <c r="U153" s="4" t="n">
        <f aca="false">IF(P153=$E153,1,0)</f>
        <v>1</v>
      </c>
      <c r="V153" s="4" t="n">
        <f aca="false">IF(OR(P153=$E153,R153=$E153,S153=$E153),1,0)</f>
        <v>1</v>
      </c>
      <c r="W153" s="4" t="n">
        <v>2</v>
      </c>
      <c r="X153" s="9" t="n">
        <f aca="false">-LN(MAX(T153,0.0001))</f>
        <v>0.539190805322887</v>
      </c>
      <c r="Y153" s="4" t="s">
        <v>116</v>
      </c>
      <c r="Z153" s="5" t="n">
        <v>0.57134</v>
      </c>
      <c r="AA153" s="4" t="s">
        <v>158</v>
      </c>
      <c r="AB153" s="4" t="s">
        <v>107</v>
      </c>
      <c r="AC153" s="5" t="n">
        <v>0.57134</v>
      </c>
      <c r="AD153" s="4" t="n">
        <f aca="false">IF(Y153=$E153,1,0)</f>
        <v>1</v>
      </c>
      <c r="AE153" s="4" t="n">
        <f aca="false">IF(OR(Y153=$E153,AA153=$E153,AB153=$E153),1,0)</f>
        <v>1</v>
      </c>
      <c r="AF153" s="4" t="n">
        <v>3</v>
      </c>
      <c r="AG153" s="9" t="n">
        <f aca="false">-LN(MAX(AC153,0.0001))</f>
        <v>0.559770799949164</v>
      </c>
    </row>
    <row r="154" customFormat="false" ht="15" hidden="false" customHeight="false" outlineLevel="0" collapsed="false">
      <c r="A154" s="4" t="n">
        <v>2023</v>
      </c>
      <c r="B154" s="4" t="n">
        <v>9</v>
      </c>
      <c r="C154" s="4" t="s">
        <v>120</v>
      </c>
      <c r="D154" s="4" t="s">
        <v>105</v>
      </c>
      <c r="E154" s="4" t="s">
        <v>116</v>
      </c>
      <c r="F154" s="4" t="n">
        <v>1</v>
      </c>
      <c r="G154" s="4" t="s">
        <v>116</v>
      </c>
      <c r="H154" s="5" t="n">
        <v>0.87094</v>
      </c>
      <c r="I154" s="4" t="s">
        <v>142</v>
      </c>
      <c r="J154" s="4" t="s">
        <v>139</v>
      </c>
      <c r="K154" s="5" t="n">
        <v>0.87094</v>
      </c>
      <c r="L154" s="4" t="n">
        <f aca="false">IF(G154=$E154,1,0)</f>
        <v>1</v>
      </c>
      <c r="M154" s="4" t="n">
        <f aca="false">IF(OR(G154=$E154,I154=$E154,J154=$E154),1,0)</f>
        <v>1</v>
      </c>
      <c r="N154" s="4" t="n">
        <v>2</v>
      </c>
      <c r="O154" s="9" t="n">
        <f aca="false">-LN(MAX(K154,0.0001))</f>
        <v>0.13818219083995</v>
      </c>
      <c r="P154" s="4" t="s">
        <v>116</v>
      </c>
      <c r="Q154" s="5" t="n">
        <v>0.59422</v>
      </c>
      <c r="R154" s="4" t="s">
        <v>143</v>
      </c>
      <c r="S154" s="4" t="s">
        <v>107</v>
      </c>
      <c r="T154" s="5" t="n">
        <v>0.59422</v>
      </c>
      <c r="U154" s="4" t="n">
        <f aca="false">IF(P154=$E154,1,0)</f>
        <v>1</v>
      </c>
      <c r="V154" s="4" t="n">
        <f aca="false">IF(OR(P154=$E154,R154=$E154,S154=$E154),1,0)</f>
        <v>1</v>
      </c>
      <c r="W154" s="4" t="n">
        <v>2</v>
      </c>
      <c r="X154" s="9" t="n">
        <f aca="false">-LN(MAX(T154,0.0001))</f>
        <v>0.520505657819297</v>
      </c>
      <c r="Y154" s="4" t="s">
        <v>116</v>
      </c>
      <c r="Z154" s="5" t="n">
        <v>0.57294</v>
      </c>
      <c r="AA154" s="4" t="s">
        <v>139</v>
      </c>
      <c r="AB154" s="4" t="s">
        <v>142</v>
      </c>
      <c r="AC154" s="5" t="n">
        <v>0.57294</v>
      </c>
      <c r="AD154" s="4" t="n">
        <f aca="false">IF(Y154=$E154,1,0)</f>
        <v>1</v>
      </c>
      <c r="AE154" s="4" t="n">
        <f aca="false">IF(OR(Y154=$E154,AA154=$E154,AB154=$E154),1,0)</f>
        <v>1</v>
      </c>
      <c r="AF154" s="4" t="n">
        <v>2</v>
      </c>
      <c r="AG154" s="9" t="n">
        <f aca="false">-LN(MAX(AC154,0.0001))</f>
        <v>0.556974279791971</v>
      </c>
    </row>
    <row r="155" customFormat="false" ht="15" hidden="false" customHeight="false" outlineLevel="0" collapsed="false">
      <c r="A155" s="4" t="n">
        <v>2023</v>
      </c>
      <c r="B155" s="4" t="n">
        <v>10</v>
      </c>
      <c r="C155" s="4" t="s">
        <v>123</v>
      </c>
      <c r="D155" s="4" t="s">
        <v>105</v>
      </c>
      <c r="E155" s="4" t="s">
        <v>116</v>
      </c>
      <c r="F155" s="4" t="n">
        <v>1</v>
      </c>
      <c r="G155" s="4" t="s">
        <v>116</v>
      </c>
      <c r="H155" s="5" t="n">
        <v>0.76084</v>
      </c>
      <c r="I155" s="4" t="s">
        <v>139</v>
      </c>
      <c r="J155" s="4" t="s">
        <v>140</v>
      </c>
      <c r="K155" s="5" t="n">
        <v>0.76084</v>
      </c>
      <c r="L155" s="4" t="n">
        <f aca="false">IF(G155=$E155,1,0)</f>
        <v>1</v>
      </c>
      <c r="M155" s="4" t="n">
        <f aca="false">IF(OR(G155=$E155,I155=$E155,J155=$E155),1,0)</f>
        <v>1</v>
      </c>
      <c r="N155" s="4" t="n">
        <v>2</v>
      </c>
      <c r="O155" s="9" t="n">
        <f aca="false">-LN(MAX(K155,0.0001))</f>
        <v>0.273332192897497</v>
      </c>
      <c r="P155" s="4" t="s">
        <v>116</v>
      </c>
      <c r="Q155" s="5" t="n">
        <v>0.603</v>
      </c>
      <c r="R155" s="4" t="s">
        <v>143</v>
      </c>
      <c r="S155" s="4" t="s">
        <v>139</v>
      </c>
      <c r="T155" s="5" t="n">
        <v>0.603</v>
      </c>
      <c r="U155" s="4" t="n">
        <f aca="false">IF(P155=$E155,1,0)</f>
        <v>1</v>
      </c>
      <c r="V155" s="4" t="n">
        <f aca="false">IF(OR(P155=$E155,R155=$E155,S155=$E155),1,0)</f>
        <v>1</v>
      </c>
      <c r="W155" s="4" t="n">
        <v>2</v>
      </c>
      <c r="X155" s="9" t="n">
        <f aca="false">-LN(MAX(T155,0.0001))</f>
        <v>0.505838082254952</v>
      </c>
      <c r="Y155" s="4" t="s">
        <v>116</v>
      </c>
      <c r="Z155" s="5" t="n">
        <v>0.56704</v>
      </c>
      <c r="AA155" s="4" t="s">
        <v>140</v>
      </c>
      <c r="AB155" s="4" t="s">
        <v>161</v>
      </c>
      <c r="AC155" s="5" t="n">
        <v>0.56704</v>
      </c>
      <c r="AD155" s="4" t="n">
        <f aca="false">IF(Y155=$E155,1,0)</f>
        <v>1</v>
      </c>
      <c r="AE155" s="4" t="n">
        <f aca="false">IF(OR(Y155=$E155,AA155=$E155,AB155=$E155),1,0)</f>
        <v>1</v>
      </c>
      <c r="AF155" s="4" t="n">
        <v>2</v>
      </c>
      <c r="AG155" s="9" t="n">
        <f aca="false">-LN(MAX(AC155,0.0001))</f>
        <v>0.567325431005476</v>
      </c>
    </row>
    <row r="156" customFormat="false" ht="15" hidden="false" customHeight="false" outlineLevel="0" collapsed="false">
      <c r="A156" s="4" t="n">
        <v>2023</v>
      </c>
      <c r="B156" s="4" t="n">
        <v>11</v>
      </c>
      <c r="C156" s="4" t="s">
        <v>124</v>
      </c>
      <c r="D156" s="4" t="s">
        <v>105</v>
      </c>
      <c r="E156" s="4" t="s">
        <v>116</v>
      </c>
      <c r="F156" s="4" t="n">
        <v>2</v>
      </c>
      <c r="G156" s="4" t="s">
        <v>107</v>
      </c>
      <c r="H156" s="5" t="n">
        <v>0.4192</v>
      </c>
      <c r="I156" s="4" t="s">
        <v>116</v>
      </c>
      <c r="J156" s="4" t="s">
        <v>140</v>
      </c>
      <c r="K156" s="5" t="n">
        <v>0.35112</v>
      </c>
      <c r="L156" s="4" t="n">
        <f aca="false">IF(G156=$E156,1,0)</f>
        <v>0</v>
      </c>
      <c r="M156" s="4" t="n">
        <f aca="false">IF(OR(G156=$E156,I156=$E156,J156=$E156),1,0)</f>
        <v>1</v>
      </c>
      <c r="N156" s="4" t="n">
        <v>2</v>
      </c>
      <c r="O156" s="9" t="n">
        <f aca="false">-LN(MAX(K156,0.0001))</f>
        <v>1.04662723360216</v>
      </c>
      <c r="P156" s="4" t="s">
        <v>116</v>
      </c>
      <c r="Q156" s="5" t="n">
        <v>0.59952</v>
      </c>
      <c r="R156" s="4" t="s">
        <v>143</v>
      </c>
      <c r="S156" s="4" t="s">
        <v>107</v>
      </c>
      <c r="T156" s="5" t="n">
        <v>0.59952</v>
      </c>
      <c r="U156" s="4" t="n">
        <f aca="false">IF(P156=$E156,1,0)</f>
        <v>1</v>
      </c>
      <c r="V156" s="4" t="n">
        <f aca="false">IF(OR(P156=$E156,R156=$E156,S156=$E156),1,0)</f>
        <v>1</v>
      </c>
      <c r="W156" s="4" t="n">
        <v>2</v>
      </c>
      <c r="X156" s="9" t="n">
        <f aca="false">-LN(MAX(T156,0.0001))</f>
        <v>0.51162594393676</v>
      </c>
      <c r="Y156" s="4" t="s">
        <v>107</v>
      </c>
      <c r="Z156" s="5" t="n">
        <v>0.52792</v>
      </c>
      <c r="AA156" s="4" t="s">
        <v>116</v>
      </c>
      <c r="AB156" s="4" t="s">
        <v>140</v>
      </c>
      <c r="AC156" s="5" t="n">
        <v>0.20906</v>
      </c>
      <c r="AD156" s="4" t="n">
        <f aca="false">IF(Y156=$E156,1,0)</f>
        <v>0</v>
      </c>
      <c r="AE156" s="4" t="n">
        <f aca="false">IF(OR(Y156=$E156,AA156=$E156,AB156=$E156),1,0)</f>
        <v>1</v>
      </c>
      <c r="AF156" s="4" t="n">
        <v>2</v>
      </c>
      <c r="AG156" s="9" t="n">
        <f aca="false">-LN(MAX(AC156,0.0001))</f>
        <v>1.56513398687758</v>
      </c>
    </row>
    <row r="157" customFormat="false" ht="15" hidden="false" customHeight="false" outlineLevel="0" collapsed="false">
      <c r="A157" s="4" t="n">
        <v>2023</v>
      </c>
      <c r="B157" s="4" t="n">
        <v>12</v>
      </c>
      <c r="C157" s="4" t="s">
        <v>126</v>
      </c>
      <c r="D157" s="4" t="s">
        <v>105</v>
      </c>
      <c r="E157" s="4" t="s">
        <v>116</v>
      </c>
      <c r="F157" s="4" t="n">
        <v>6</v>
      </c>
      <c r="G157" s="4" t="s">
        <v>116</v>
      </c>
      <c r="H157" s="5" t="n">
        <v>0.58938</v>
      </c>
      <c r="I157" s="4" t="s">
        <v>139</v>
      </c>
      <c r="J157" s="4" t="s">
        <v>107</v>
      </c>
      <c r="K157" s="5" t="n">
        <v>0.58938</v>
      </c>
      <c r="L157" s="4" t="n">
        <f aca="false">IF(G157=$E157,1,0)</f>
        <v>1</v>
      </c>
      <c r="M157" s="4" t="n">
        <f aca="false">IF(OR(G157=$E157,I157=$E157,J157=$E157),1,0)</f>
        <v>1</v>
      </c>
      <c r="N157" s="4" t="n">
        <v>3</v>
      </c>
      <c r="O157" s="9" t="n">
        <f aca="false">-LN(MAX(K157,0.0001))</f>
        <v>0.528684142067304</v>
      </c>
      <c r="P157" s="4" t="s">
        <v>116</v>
      </c>
      <c r="Q157" s="5" t="n">
        <v>0.63996</v>
      </c>
      <c r="R157" s="4" t="s">
        <v>143</v>
      </c>
      <c r="S157" s="4" t="s">
        <v>107</v>
      </c>
      <c r="T157" s="5" t="n">
        <v>0.63996</v>
      </c>
      <c r="U157" s="4" t="n">
        <f aca="false">IF(P157=$E157,1,0)</f>
        <v>1</v>
      </c>
      <c r="V157" s="4" t="n">
        <f aca="false">IF(OR(P157=$E157,R157=$E157,S157=$E157),1,0)</f>
        <v>1</v>
      </c>
      <c r="W157" s="4" t="n">
        <v>2</v>
      </c>
      <c r="X157" s="9" t="n">
        <f aca="false">-LN(MAX(T157,0.0001))</f>
        <v>0.446349604581626</v>
      </c>
      <c r="Y157" s="4" t="s">
        <v>139</v>
      </c>
      <c r="Z157" s="5" t="n">
        <v>0.51192</v>
      </c>
      <c r="AA157" s="4" t="s">
        <v>143</v>
      </c>
      <c r="AB157" s="4" t="s">
        <v>107</v>
      </c>
      <c r="AC157" s="5" t="n">
        <v>0.02306</v>
      </c>
      <c r="AD157" s="4" t="n">
        <f aca="false">IF(Y157=$E157,1,0)</f>
        <v>0</v>
      </c>
      <c r="AE157" s="4" t="n">
        <f aca="false">IF(OR(Y157=$E157,AA157=$E157,AB157=$E157),1,0)</f>
        <v>0</v>
      </c>
      <c r="AF157" s="4" t="n">
        <v>2</v>
      </c>
      <c r="AG157" s="9" t="n">
        <f aca="false">-LN(MAX(AC157,0.0001))</f>
        <v>3.76965576414122</v>
      </c>
    </row>
    <row r="158" customFormat="false" ht="15" hidden="false" customHeight="false" outlineLevel="0" collapsed="false">
      <c r="A158" s="4" t="n">
        <v>2023</v>
      </c>
      <c r="B158" s="4" t="n">
        <v>13</v>
      </c>
      <c r="C158" s="4" t="s">
        <v>154</v>
      </c>
      <c r="D158" s="4" t="s">
        <v>105</v>
      </c>
      <c r="E158" s="4" t="s">
        <v>116</v>
      </c>
      <c r="F158" s="4" t="n">
        <v>1</v>
      </c>
      <c r="G158" s="4" t="s">
        <v>116</v>
      </c>
      <c r="H158" s="5" t="n">
        <v>0.80536</v>
      </c>
      <c r="I158" s="4" t="s">
        <v>140</v>
      </c>
      <c r="J158" s="4" t="s">
        <v>152</v>
      </c>
      <c r="K158" s="5" t="n">
        <v>0.80536</v>
      </c>
      <c r="L158" s="4" t="n">
        <f aca="false">IF(G158=$E158,1,0)</f>
        <v>1</v>
      </c>
      <c r="M158" s="4" t="n">
        <f aca="false">IF(OR(G158=$E158,I158=$E158,J158=$E158),1,0)</f>
        <v>1</v>
      </c>
      <c r="N158" s="4" t="n">
        <v>1</v>
      </c>
      <c r="O158" s="9" t="n">
        <f aca="false">-LN(MAX(K158,0.0001))</f>
        <v>0.216465896560969</v>
      </c>
      <c r="P158" s="4" t="s">
        <v>116</v>
      </c>
      <c r="Q158" s="5" t="n">
        <v>0.6407</v>
      </c>
      <c r="R158" s="4" t="s">
        <v>143</v>
      </c>
      <c r="S158" s="4" t="s">
        <v>107</v>
      </c>
      <c r="T158" s="5" t="n">
        <v>0.6407</v>
      </c>
      <c r="U158" s="4" t="n">
        <f aca="false">IF(P158=$E158,1,0)</f>
        <v>1</v>
      </c>
      <c r="V158" s="4" t="n">
        <f aca="false">IF(OR(P158=$E158,R158=$E158,S158=$E158),1,0)</f>
        <v>1</v>
      </c>
      <c r="W158" s="4" t="n">
        <v>1</v>
      </c>
      <c r="X158" s="9" t="n">
        <f aca="false">-LN(MAX(T158,0.0001))</f>
        <v>0.445193950337161</v>
      </c>
      <c r="Y158" s="4" t="s">
        <v>116</v>
      </c>
      <c r="Z158" s="5" t="n">
        <v>0.56978</v>
      </c>
      <c r="AA158" s="4" t="s">
        <v>140</v>
      </c>
      <c r="AB158" s="4" t="s">
        <v>152</v>
      </c>
      <c r="AC158" s="5" t="n">
        <v>0.56978</v>
      </c>
      <c r="AD158" s="4" t="n">
        <f aca="false">IF(Y158=$E158,1,0)</f>
        <v>1</v>
      </c>
      <c r="AE158" s="4" t="n">
        <f aca="false">IF(OR(Y158=$E158,AA158=$E158,AB158=$E158),1,0)</f>
        <v>1</v>
      </c>
      <c r="AF158" s="4" t="n">
        <v>1</v>
      </c>
      <c r="AG158" s="9" t="n">
        <f aca="false">-LN(MAX(AC158,0.0001))</f>
        <v>0.56250495756945</v>
      </c>
    </row>
    <row r="159" customFormat="false" ht="15" hidden="false" customHeight="false" outlineLevel="0" collapsed="false">
      <c r="A159" s="4" t="n">
        <v>2023</v>
      </c>
      <c r="B159" s="4" t="n">
        <v>14</v>
      </c>
      <c r="C159" s="4" t="s">
        <v>127</v>
      </c>
      <c r="D159" s="4" t="s">
        <v>105</v>
      </c>
      <c r="E159" s="4" t="s">
        <v>116</v>
      </c>
      <c r="F159" s="4" t="n">
        <v>2</v>
      </c>
      <c r="G159" s="4" t="s">
        <v>116</v>
      </c>
      <c r="H159" s="5" t="n">
        <v>0.55434</v>
      </c>
      <c r="I159" s="4" t="s">
        <v>142</v>
      </c>
      <c r="J159" s="4" t="s">
        <v>143</v>
      </c>
      <c r="K159" s="5" t="n">
        <v>0.55434</v>
      </c>
      <c r="L159" s="4" t="n">
        <f aca="false">IF(G159=$E159,1,0)</f>
        <v>1</v>
      </c>
      <c r="M159" s="4" t="n">
        <f aca="false">IF(OR(G159=$E159,I159=$E159,J159=$E159),1,0)</f>
        <v>1</v>
      </c>
      <c r="N159" s="4" t="n">
        <v>3</v>
      </c>
      <c r="O159" s="9" t="n">
        <f aca="false">-LN(MAX(K159,0.0001))</f>
        <v>0.589977062071428</v>
      </c>
      <c r="P159" s="4" t="s">
        <v>116</v>
      </c>
      <c r="Q159" s="5" t="n">
        <v>0.71884</v>
      </c>
      <c r="R159" s="4" t="s">
        <v>143</v>
      </c>
      <c r="S159" s="4" t="s">
        <v>139</v>
      </c>
      <c r="T159" s="5" t="n">
        <v>0.71884</v>
      </c>
      <c r="U159" s="4" t="n">
        <f aca="false">IF(P159=$E159,1,0)</f>
        <v>1</v>
      </c>
      <c r="V159" s="4" t="n">
        <f aca="false">IF(OR(P159=$E159,R159=$E159,S159=$E159),1,0)</f>
        <v>1</v>
      </c>
      <c r="W159" s="4" t="n">
        <v>2</v>
      </c>
      <c r="X159" s="9" t="n">
        <f aca="false">-LN(MAX(T159,0.0001))</f>
        <v>0.330116477318316</v>
      </c>
      <c r="Y159" s="4" t="s">
        <v>142</v>
      </c>
      <c r="Z159" s="5" t="n">
        <v>0.49932</v>
      </c>
      <c r="AA159" s="4" t="s">
        <v>116</v>
      </c>
      <c r="AB159" s="4" t="s">
        <v>139</v>
      </c>
      <c r="AC159" s="5" t="n">
        <v>0.22172</v>
      </c>
      <c r="AD159" s="4" t="n">
        <f aca="false">IF(Y159=$E159,1,0)</f>
        <v>0</v>
      </c>
      <c r="AE159" s="4" t="n">
        <f aca="false">IF(OR(Y159=$E159,AA159=$E159,AB159=$E159),1,0)</f>
        <v>1</v>
      </c>
      <c r="AF159" s="4" t="n">
        <v>2</v>
      </c>
      <c r="AG159" s="9" t="n">
        <f aca="false">-LN(MAX(AC159,0.0001))</f>
        <v>1.50633995443053</v>
      </c>
    </row>
    <row r="160" customFormat="false" ht="15" hidden="false" customHeight="false" outlineLevel="0" collapsed="false">
      <c r="A160" s="4" t="n">
        <v>2023</v>
      </c>
      <c r="B160" s="4" t="n">
        <v>15</v>
      </c>
      <c r="C160" s="4" t="s">
        <v>128</v>
      </c>
      <c r="D160" s="4" t="s">
        <v>105</v>
      </c>
      <c r="E160" s="4" t="s">
        <v>142</v>
      </c>
      <c r="F160" s="4" t="n">
        <v>1</v>
      </c>
      <c r="G160" s="4" t="s">
        <v>142</v>
      </c>
      <c r="H160" s="5" t="n">
        <v>0.48666</v>
      </c>
      <c r="I160" s="4" t="s">
        <v>139</v>
      </c>
      <c r="J160" s="4" t="s">
        <v>140</v>
      </c>
      <c r="K160" s="5" t="n">
        <v>0.48666</v>
      </c>
      <c r="L160" s="4" t="n">
        <f aca="false">IF(G160=$E160,1,0)</f>
        <v>1</v>
      </c>
      <c r="M160" s="4" t="n">
        <f aca="false">IF(OR(G160=$E160,I160=$E160,J160=$E160),1,0)</f>
        <v>1</v>
      </c>
      <c r="N160" s="4" t="n">
        <v>2</v>
      </c>
      <c r="O160" s="9" t="n">
        <f aca="false">-LN(MAX(K160,0.0001))</f>
        <v>0.720189551671829</v>
      </c>
      <c r="P160" s="4" t="s">
        <v>116</v>
      </c>
      <c r="Q160" s="5" t="n">
        <v>0.68884</v>
      </c>
      <c r="R160" s="4" t="s">
        <v>143</v>
      </c>
      <c r="S160" s="4" t="s">
        <v>139</v>
      </c>
      <c r="T160" s="5" t="n">
        <v>0.03304</v>
      </c>
      <c r="U160" s="4" t="n">
        <f aca="false">IF(P160=$E160,1,0)</f>
        <v>0</v>
      </c>
      <c r="V160" s="4" t="n">
        <f aca="false">IF(OR(P160=$E160,R160=$E160,S160=$E160),1,0)</f>
        <v>0</v>
      </c>
      <c r="W160" s="4" t="n">
        <v>0</v>
      </c>
      <c r="X160" s="9" t="n">
        <f aca="false">-LN(MAX(T160,0.0001))</f>
        <v>3.41003633032936</v>
      </c>
      <c r="Y160" s="4" t="s">
        <v>142</v>
      </c>
      <c r="Z160" s="5" t="n">
        <v>0.5061</v>
      </c>
      <c r="AA160" s="4" t="s">
        <v>152</v>
      </c>
      <c r="AB160" s="4" t="s">
        <v>139</v>
      </c>
      <c r="AC160" s="5" t="n">
        <v>0.5061</v>
      </c>
      <c r="AD160" s="4" t="n">
        <f aca="false">IF(Y160=$E160,1,0)</f>
        <v>1</v>
      </c>
      <c r="AE160" s="4" t="n">
        <f aca="false">IF(OR(Y160=$E160,AA160=$E160,AB160=$E160),1,0)</f>
        <v>1</v>
      </c>
      <c r="AF160" s="4" t="n">
        <v>1</v>
      </c>
      <c r="AG160" s="9" t="n">
        <f aca="false">-LN(MAX(AC160,0.0001))</f>
        <v>0.681021000762105</v>
      </c>
    </row>
    <row r="161" customFormat="false" ht="15" hidden="false" customHeight="false" outlineLevel="0" collapsed="false">
      <c r="A161" s="4" t="n">
        <v>2023</v>
      </c>
      <c r="B161" s="4" t="n">
        <v>16</v>
      </c>
      <c r="C161" s="4" t="s">
        <v>130</v>
      </c>
      <c r="D161" s="4" t="s">
        <v>105</v>
      </c>
      <c r="E161" s="4" t="s">
        <v>116</v>
      </c>
      <c r="F161" s="4" t="n">
        <v>1</v>
      </c>
      <c r="G161" s="4" t="s">
        <v>116</v>
      </c>
      <c r="H161" s="5" t="n">
        <v>0.69476</v>
      </c>
      <c r="I161" s="4" t="s">
        <v>140</v>
      </c>
      <c r="J161" s="4" t="s">
        <v>143</v>
      </c>
      <c r="K161" s="5" t="n">
        <v>0.69476</v>
      </c>
      <c r="L161" s="4" t="n">
        <f aca="false">IF(G161=$E161,1,0)</f>
        <v>1</v>
      </c>
      <c r="M161" s="4" t="n">
        <f aca="false">IF(OR(G161=$E161,I161=$E161,J161=$E161),1,0)</f>
        <v>1</v>
      </c>
      <c r="N161" s="4" t="n">
        <v>2</v>
      </c>
      <c r="O161" s="9" t="n">
        <f aca="false">-LN(MAX(K161,0.0001))</f>
        <v>0.364188816796325</v>
      </c>
      <c r="P161" s="4" t="s">
        <v>116</v>
      </c>
      <c r="Q161" s="5" t="n">
        <v>0.62078</v>
      </c>
      <c r="R161" s="4" t="s">
        <v>143</v>
      </c>
      <c r="S161" s="4" t="s">
        <v>139</v>
      </c>
      <c r="T161" s="5" t="n">
        <v>0.62078</v>
      </c>
      <c r="U161" s="4" t="n">
        <f aca="false">IF(P161=$E161,1,0)</f>
        <v>1</v>
      </c>
      <c r="V161" s="4" t="n">
        <f aca="false">IF(OR(P161=$E161,R161=$E161,S161=$E161),1,0)</f>
        <v>1</v>
      </c>
      <c r="W161" s="4" t="n">
        <v>1</v>
      </c>
      <c r="X161" s="9" t="n">
        <f aca="false">-LN(MAX(T161,0.0001))</f>
        <v>0.476778527126936</v>
      </c>
      <c r="Y161" s="4" t="s">
        <v>116</v>
      </c>
      <c r="Z161" s="5" t="n">
        <v>0.5663</v>
      </c>
      <c r="AA161" s="4" t="s">
        <v>161</v>
      </c>
      <c r="AB161" s="4" t="s">
        <v>140</v>
      </c>
      <c r="AC161" s="5" t="n">
        <v>0.5663</v>
      </c>
      <c r="AD161" s="4" t="n">
        <f aca="false">IF(Y161=$E161,1,0)</f>
        <v>1</v>
      </c>
      <c r="AE161" s="4" t="n">
        <f aca="false">IF(OR(Y161=$E161,AA161=$E161,AB161=$E161),1,0)</f>
        <v>1</v>
      </c>
      <c r="AF161" s="4" t="n">
        <v>3</v>
      </c>
      <c r="AG161" s="9" t="n">
        <f aca="false">-LN(MAX(AC161,0.0001))</f>
        <v>0.568631305862378</v>
      </c>
    </row>
    <row r="162" customFormat="false" ht="15" hidden="false" customHeight="false" outlineLevel="0" collapsed="false">
      <c r="A162" s="4" t="n">
        <v>2023</v>
      </c>
      <c r="B162" s="4" t="n">
        <v>17</v>
      </c>
      <c r="C162" s="4" t="s">
        <v>157</v>
      </c>
      <c r="D162" s="4" t="s">
        <v>105</v>
      </c>
      <c r="E162" s="4" t="s">
        <v>116</v>
      </c>
      <c r="F162" s="4" t="n">
        <v>1</v>
      </c>
      <c r="G162" s="4" t="s">
        <v>116</v>
      </c>
      <c r="H162" s="5" t="n">
        <v>0.85586</v>
      </c>
      <c r="I162" s="4" t="s">
        <v>161</v>
      </c>
      <c r="J162" s="4" t="s">
        <v>107</v>
      </c>
      <c r="K162" s="5" t="n">
        <v>0.85586</v>
      </c>
      <c r="L162" s="4" t="n">
        <f aca="false">IF(G162=$E162,1,0)</f>
        <v>1</v>
      </c>
      <c r="M162" s="4" t="n">
        <f aca="false">IF(OR(G162=$E162,I162=$E162,J162=$E162),1,0)</f>
        <v>1</v>
      </c>
      <c r="N162" s="4" t="n">
        <v>2</v>
      </c>
      <c r="O162" s="9" t="n">
        <f aca="false">-LN(MAX(K162,0.0001))</f>
        <v>0.155648467618253</v>
      </c>
      <c r="P162" s="4" t="s">
        <v>116</v>
      </c>
      <c r="Q162" s="5" t="n">
        <v>0.69598</v>
      </c>
      <c r="R162" s="4" t="s">
        <v>143</v>
      </c>
      <c r="S162" s="4" t="s">
        <v>139</v>
      </c>
      <c r="T162" s="5" t="n">
        <v>0.69598</v>
      </c>
      <c r="U162" s="4" t="n">
        <f aca="false">IF(P162=$E162,1,0)</f>
        <v>1</v>
      </c>
      <c r="V162" s="4" t="n">
        <f aca="false">IF(OR(P162=$E162,R162=$E162,S162=$E162),1,0)</f>
        <v>1</v>
      </c>
      <c r="W162" s="4" t="n">
        <v>1</v>
      </c>
      <c r="X162" s="9" t="n">
        <f aca="false">-LN(MAX(T162,0.0001))</f>
        <v>0.362434354692777</v>
      </c>
      <c r="Y162" s="4" t="s">
        <v>116</v>
      </c>
      <c r="Z162" s="5" t="n">
        <v>0.54934</v>
      </c>
      <c r="AA162" s="4" t="s">
        <v>152</v>
      </c>
      <c r="AB162" s="4" t="s">
        <v>107</v>
      </c>
      <c r="AC162" s="5" t="n">
        <v>0.54934</v>
      </c>
      <c r="AD162" s="4" t="n">
        <f aca="false">IF(Y162=$E162,1,0)</f>
        <v>1</v>
      </c>
      <c r="AE162" s="4" t="n">
        <f aca="false">IF(OR(Y162=$E162,AA162=$E162,AB162=$E162),1,0)</f>
        <v>1</v>
      </c>
      <c r="AF162" s="4" t="n">
        <v>1</v>
      </c>
      <c r="AG162" s="9" t="n">
        <f aca="false">-LN(MAX(AC162,0.0001))</f>
        <v>0.599037721332139</v>
      </c>
    </row>
    <row r="163" customFormat="false" ht="15" hidden="false" customHeight="false" outlineLevel="0" collapsed="false">
      <c r="A163" s="4" t="n">
        <v>2023</v>
      </c>
      <c r="B163" s="4" t="n">
        <v>18</v>
      </c>
      <c r="C163" s="4" t="s">
        <v>131</v>
      </c>
      <c r="D163" s="4" t="s">
        <v>105</v>
      </c>
      <c r="E163" s="4" t="s">
        <v>116</v>
      </c>
      <c r="F163" s="4" t="n">
        <v>6</v>
      </c>
      <c r="G163" s="4" t="s">
        <v>116</v>
      </c>
      <c r="H163" s="5" t="n">
        <v>0.35494</v>
      </c>
      <c r="I163" s="4" t="s">
        <v>139</v>
      </c>
      <c r="J163" s="4" t="s">
        <v>140</v>
      </c>
      <c r="K163" s="5" t="n">
        <v>0.35494</v>
      </c>
      <c r="L163" s="4" t="n">
        <f aca="false">IF(G163=$E163,1,0)</f>
        <v>1</v>
      </c>
      <c r="M163" s="4" t="n">
        <f aca="false">IF(OR(G163=$E163,I163=$E163,J163=$E163),1,0)</f>
        <v>1</v>
      </c>
      <c r="N163" s="4" t="n">
        <v>2</v>
      </c>
      <c r="O163" s="9" t="n">
        <f aca="false">-LN(MAX(K163,0.0001))</f>
        <v>1.03580651787572</v>
      </c>
      <c r="P163" s="4" t="s">
        <v>116</v>
      </c>
      <c r="Q163" s="5" t="n">
        <v>0.72038</v>
      </c>
      <c r="R163" s="4" t="s">
        <v>143</v>
      </c>
      <c r="S163" s="4" t="s">
        <v>139</v>
      </c>
      <c r="T163" s="5" t="n">
        <v>0.72038</v>
      </c>
      <c r="U163" s="4" t="n">
        <f aca="false">IF(P163=$E163,1,0)</f>
        <v>1</v>
      </c>
      <c r="V163" s="4" t="n">
        <f aca="false">IF(OR(P163=$E163,R163=$E163,S163=$E163),1,0)</f>
        <v>1</v>
      </c>
      <c r="W163" s="4" t="n">
        <v>1</v>
      </c>
      <c r="X163" s="9" t="n">
        <f aca="false">-LN(MAX(T163,0.0001))</f>
        <v>0.327976428419965</v>
      </c>
      <c r="Y163" s="4" t="s">
        <v>139</v>
      </c>
      <c r="Z163" s="5" t="n">
        <v>0.5092</v>
      </c>
      <c r="AA163" s="4" t="s">
        <v>140</v>
      </c>
      <c r="AB163" s="4" t="s">
        <v>107</v>
      </c>
      <c r="AC163" s="5" t="n">
        <v>0.02374</v>
      </c>
      <c r="AD163" s="4" t="n">
        <f aca="false">IF(Y163=$E163,1,0)</f>
        <v>0</v>
      </c>
      <c r="AE163" s="4" t="n">
        <f aca="false">IF(OR(Y163=$E163,AA163=$E163,AB163=$E163),1,0)</f>
        <v>0</v>
      </c>
      <c r="AF163" s="4" t="n">
        <v>1</v>
      </c>
      <c r="AG163" s="9" t="n">
        <f aca="false">-LN(MAX(AC163,0.0001))</f>
        <v>3.74059388980062</v>
      </c>
    </row>
    <row r="164" customFormat="false" ht="15" hidden="false" customHeight="false" outlineLevel="0" collapsed="false">
      <c r="A164" s="4" t="n">
        <v>2023</v>
      </c>
      <c r="B164" s="4" t="n">
        <v>19</v>
      </c>
      <c r="C164" s="4" t="s">
        <v>155</v>
      </c>
      <c r="D164" s="4" t="s">
        <v>105</v>
      </c>
      <c r="E164" s="4" t="s">
        <v>116</v>
      </c>
      <c r="F164" s="4" t="n">
        <v>3</v>
      </c>
      <c r="G164" s="4" t="s">
        <v>116</v>
      </c>
      <c r="H164" s="5" t="n">
        <v>0.38908</v>
      </c>
      <c r="I164" s="4" t="s">
        <v>139</v>
      </c>
      <c r="J164" s="4" t="s">
        <v>142</v>
      </c>
      <c r="K164" s="5" t="n">
        <v>0.38908</v>
      </c>
      <c r="L164" s="4" t="n">
        <f aca="false">IF(G164=$E164,1,0)</f>
        <v>1</v>
      </c>
      <c r="M164" s="4" t="n">
        <f aca="false">IF(OR(G164=$E164,I164=$E164,J164=$E164),1,0)</f>
        <v>1</v>
      </c>
      <c r="N164" s="4" t="n">
        <v>2</v>
      </c>
      <c r="O164" s="9" t="n">
        <f aca="false">-LN(MAX(K164,0.0001))</f>
        <v>0.943970300980898</v>
      </c>
      <c r="P164" s="4" t="s">
        <v>116</v>
      </c>
      <c r="Q164" s="5" t="n">
        <v>0.7022</v>
      </c>
      <c r="R164" s="4" t="s">
        <v>143</v>
      </c>
      <c r="S164" s="4" t="s">
        <v>142</v>
      </c>
      <c r="T164" s="5" t="n">
        <v>0.7022</v>
      </c>
      <c r="U164" s="4" t="n">
        <f aca="false">IF(P164=$E164,1,0)</f>
        <v>1</v>
      </c>
      <c r="V164" s="4" t="n">
        <f aca="false">IF(OR(P164=$E164,R164=$E164,S164=$E164),1,0)</f>
        <v>1</v>
      </c>
      <c r="W164" s="4" t="n">
        <v>1</v>
      </c>
      <c r="X164" s="9" t="n">
        <f aca="false">-LN(MAX(T164,0.0001))</f>
        <v>0.353537015247805</v>
      </c>
      <c r="Y164" s="4" t="s">
        <v>139</v>
      </c>
      <c r="Z164" s="5" t="n">
        <v>0.5078</v>
      </c>
      <c r="AA164" s="4" t="s">
        <v>142</v>
      </c>
      <c r="AB164" s="4" t="s">
        <v>116</v>
      </c>
      <c r="AC164" s="5" t="n">
        <v>0.1008</v>
      </c>
      <c r="AD164" s="4" t="n">
        <f aca="false">IF(Y164=$E164,1,0)</f>
        <v>0</v>
      </c>
      <c r="AE164" s="4" t="n">
        <f aca="false">IF(OR(Y164=$E164,AA164=$E164,AB164=$E164),1,0)</f>
        <v>1</v>
      </c>
      <c r="AF164" s="4" t="n">
        <v>2</v>
      </c>
      <c r="AG164" s="9" t="n">
        <f aca="false">-LN(MAX(AC164,0.0001))</f>
        <v>2.29461692334487</v>
      </c>
    </row>
    <row r="165" customFormat="false" ht="15" hidden="false" customHeight="false" outlineLevel="0" collapsed="false">
      <c r="A165" s="4" t="n">
        <v>2023</v>
      </c>
      <c r="B165" s="4" t="n">
        <v>20</v>
      </c>
      <c r="C165" s="4" t="s">
        <v>156</v>
      </c>
      <c r="D165" s="4" t="s">
        <v>105</v>
      </c>
      <c r="E165" s="4" t="s">
        <v>116</v>
      </c>
      <c r="F165" s="4" t="n">
        <v>1</v>
      </c>
      <c r="G165" s="4" t="s">
        <v>116</v>
      </c>
      <c r="H165" s="5" t="n">
        <v>0.86538</v>
      </c>
      <c r="I165" s="4" t="s">
        <v>140</v>
      </c>
      <c r="J165" s="4" t="s">
        <v>152</v>
      </c>
      <c r="K165" s="5" t="n">
        <v>0.86538</v>
      </c>
      <c r="L165" s="4" t="n">
        <f aca="false">IF(G165=$E165,1,0)</f>
        <v>1</v>
      </c>
      <c r="M165" s="4" t="n">
        <f aca="false">IF(OR(G165=$E165,I165=$E165,J165=$E165),1,0)</f>
        <v>1</v>
      </c>
      <c r="N165" s="4" t="n">
        <v>2</v>
      </c>
      <c r="O165" s="9" t="n">
        <f aca="false">-LN(MAX(K165,0.0001))</f>
        <v>0.144586562158663</v>
      </c>
      <c r="P165" s="4" t="s">
        <v>116</v>
      </c>
      <c r="Q165" s="5" t="n">
        <v>0.73248</v>
      </c>
      <c r="R165" s="4" t="s">
        <v>143</v>
      </c>
      <c r="S165" s="4" t="s">
        <v>107</v>
      </c>
      <c r="T165" s="5" t="n">
        <v>0.73248</v>
      </c>
      <c r="U165" s="4" t="n">
        <f aca="false">IF(P165=$E165,1,0)</f>
        <v>1</v>
      </c>
      <c r="V165" s="4" t="n">
        <f aca="false">IF(OR(P165=$E165,R165=$E165,S165=$E165),1,0)</f>
        <v>1</v>
      </c>
      <c r="W165" s="4" t="n">
        <v>1</v>
      </c>
      <c r="X165" s="9" t="n">
        <f aca="false">-LN(MAX(T165,0.0001))</f>
        <v>0.311319242217935</v>
      </c>
      <c r="Y165" s="4" t="s">
        <v>116</v>
      </c>
      <c r="Z165" s="5" t="n">
        <v>0.65666</v>
      </c>
      <c r="AA165" s="4" t="s">
        <v>136</v>
      </c>
      <c r="AB165" s="4" t="s">
        <v>158</v>
      </c>
      <c r="AC165" s="5" t="n">
        <v>0.65666</v>
      </c>
      <c r="AD165" s="4" t="n">
        <f aca="false">IF(Y165=$E165,1,0)</f>
        <v>1</v>
      </c>
      <c r="AE165" s="4" t="n">
        <f aca="false">IF(OR(Y165=$E165,AA165=$E165,AB165=$E165),1,0)</f>
        <v>1</v>
      </c>
      <c r="AF165" s="4" t="n">
        <v>2</v>
      </c>
      <c r="AG165" s="9" t="n">
        <f aca="false">-LN(MAX(AC165,0.0001))</f>
        <v>0.420588898254011</v>
      </c>
    </row>
    <row r="166" customFormat="false" ht="15" hidden="false" customHeight="false" outlineLevel="0" collapsed="false">
      <c r="A166" s="4" t="n">
        <v>2023</v>
      </c>
      <c r="B166" s="4" t="n">
        <v>21</v>
      </c>
      <c r="C166" s="4" t="s">
        <v>162</v>
      </c>
      <c r="D166" s="4" t="s">
        <v>105</v>
      </c>
      <c r="E166" s="4" t="s">
        <v>116</v>
      </c>
      <c r="F166" s="4" t="n">
        <v>2</v>
      </c>
      <c r="G166" s="4" t="s">
        <v>116</v>
      </c>
      <c r="H166" s="5" t="n">
        <v>0.50656</v>
      </c>
      <c r="I166" s="4" t="s">
        <v>139</v>
      </c>
      <c r="J166" s="4" t="s">
        <v>152</v>
      </c>
      <c r="K166" s="5" t="n">
        <v>0.50656</v>
      </c>
      <c r="L166" s="4" t="n">
        <f aca="false">IF(G166=$E166,1,0)</f>
        <v>1</v>
      </c>
      <c r="M166" s="4" t="n">
        <f aca="false">IF(OR(G166=$E166,I166=$E166,J166=$E166),1,0)</f>
        <v>1</v>
      </c>
      <c r="N166" s="4" t="n">
        <v>2</v>
      </c>
      <c r="O166" s="9" t="n">
        <f aca="false">-LN(MAX(K166,0.0001))</f>
        <v>0.68011250228949</v>
      </c>
      <c r="P166" s="4" t="s">
        <v>116</v>
      </c>
      <c r="Q166" s="5" t="n">
        <v>0.72408</v>
      </c>
      <c r="R166" s="4" t="s">
        <v>143</v>
      </c>
      <c r="S166" s="4" t="s">
        <v>142</v>
      </c>
      <c r="T166" s="5" t="n">
        <v>0.72408</v>
      </c>
      <c r="U166" s="4" t="n">
        <f aca="false">IF(P166=$E166,1,0)</f>
        <v>1</v>
      </c>
      <c r="V166" s="4" t="n">
        <f aca="false">IF(OR(P166=$E166,R166=$E166,S166=$E166),1,0)</f>
        <v>1</v>
      </c>
      <c r="W166" s="4" t="n">
        <v>2</v>
      </c>
      <c r="X166" s="9" t="n">
        <f aca="false">-LN(MAX(T166,0.0001))</f>
        <v>0.322853395463222</v>
      </c>
      <c r="Y166" s="4" t="s">
        <v>139</v>
      </c>
      <c r="Z166" s="5" t="n">
        <v>0.50262</v>
      </c>
      <c r="AA166" s="4" t="s">
        <v>116</v>
      </c>
      <c r="AB166" s="4" t="s">
        <v>152</v>
      </c>
      <c r="AC166" s="5" t="n">
        <v>0.21974</v>
      </c>
      <c r="AD166" s="4" t="n">
        <f aca="false">IF(Y166=$E166,1,0)</f>
        <v>0</v>
      </c>
      <c r="AE166" s="4" t="n">
        <f aca="false">IF(OR(Y166=$E166,AA166=$E166,AB166=$E166),1,0)</f>
        <v>1</v>
      </c>
      <c r="AF166" s="4" t="n">
        <v>2</v>
      </c>
      <c r="AG166" s="9" t="n">
        <f aca="false">-LN(MAX(AC166,0.0001))</f>
        <v>1.5153102497094</v>
      </c>
    </row>
    <row r="167" customFormat="false" ht="15" hidden="false" customHeight="false" outlineLevel="0" collapsed="false">
      <c r="A167" s="4" t="n">
        <v>2023</v>
      </c>
      <c r="B167" s="4" t="n">
        <v>22</v>
      </c>
      <c r="C167" s="4" t="s">
        <v>134</v>
      </c>
      <c r="D167" s="4" t="s">
        <v>105</v>
      </c>
      <c r="E167" s="4" t="s">
        <v>116</v>
      </c>
      <c r="F167" s="4" t="n">
        <v>1</v>
      </c>
      <c r="G167" s="4" t="s">
        <v>116</v>
      </c>
      <c r="H167" s="5" t="n">
        <v>0.69134</v>
      </c>
      <c r="I167" s="4" t="s">
        <v>139</v>
      </c>
      <c r="J167" s="4" t="s">
        <v>161</v>
      </c>
      <c r="K167" s="5" t="n">
        <v>0.69134</v>
      </c>
      <c r="L167" s="4" t="n">
        <f aca="false">IF(G167=$E167,1,0)</f>
        <v>1</v>
      </c>
      <c r="M167" s="4" t="n">
        <f aca="false">IF(OR(G167=$E167,I167=$E167,J167=$E167),1,0)</f>
        <v>1</v>
      </c>
      <c r="N167" s="4" t="n">
        <v>2</v>
      </c>
      <c r="O167" s="9" t="n">
        <f aca="false">-LN(MAX(K167,0.0001))</f>
        <v>0.369123535705727</v>
      </c>
      <c r="P167" s="4" t="s">
        <v>116</v>
      </c>
      <c r="Q167" s="5" t="n">
        <v>0.70544</v>
      </c>
      <c r="R167" s="4" t="s">
        <v>143</v>
      </c>
      <c r="S167" s="4" t="s">
        <v>139</v>
      </c>
      <c r="T167" s="5" t="n">
        <v>0.70544</v>
      </c>
      <c r="U167" s="4" t="n">
        <f aca="false">IF(P167=$E167,1,0)</f>
        <v>1</v>
      </c>
      <c r="V167" s="4" t="n">
        <f aca="false">IF(OR(P167=$E167,R167=$E167,S167=$E167),1,0)</f>
        <v>1</v>
      </c>
      <c r="W167" s="4" t="n">
        <v>2</v>
      </c>
      <c r="X167" s="9" t="n">
        <f aca="false">-LN(MAX(T167,0.0001))</f>
        <v>0.34893355737251</v>
      </c>
      <c r="Y167" s="4" t="s">
        <v>116</v>
      </c>
      <c r="Z167" s="5" t="n">
        <v>0.548</v>
      </c>
      <c r="AA167" s="4" t="s">
        <v>139</v>
      </c>
      <c r="AB167" s="4" t="s">
        <v>161</v>
      </c>
      <c r="AC167" s="5" t="n">
        <v>0.548</v>
      </c>
      <c r="AD167" s="4" t="n">
        <f aca="false">IF(Y167=$E167,1,0)</f>
        <v>1</v>
      </c>
      <c r="AE167" s="4" t="n">
        <f aca="false">IF(OR(Y167=$E167,AA167=$E167,AB167=$E167),1,0)</f>
        <v>1</v>
      </c>
      <c r="AF167" s="4" t="n">
        <v>2</v>
      </c>
      <c r="AG167" s="9" t="n">
        <f aca="false">-LN(MAX(AC167,0.0001))</f>
        <v>0.601479992034121</v>
      </c>
    </row>
    <row r="168" customFormat="false" ht="15" hidden="false" customHeight="false" outlineLevel="0" collapsed="false">
      <c r="A168" s="4" t="n">
        <v>2024</v>
      </c>
      <c r="B168" s="4" t="n">
        <v>1</v>
      </c>
      <c r="C168" s="4" t="s">
        <v>109</v>
      </c>
      <c r="D168" s="4" t="s">
        <v>163</v>
      </c>
      <c r="E168" s="4" t="s">
        <v>116</v>
      </c>
      <c r="F168" s="4" t="n">
        <v>1</v>
      </c>
      <c r="G168" s="4" t="s">
        <v>116</v>
      </c>
      <c r="H168" s="5" t="n">
        <v>0.35538</v>
      </c>
      <c r="I168" s="4" t="s">
        <v>139</v>
      </c>
      <c r="J168" s="4" t="s">
        <v>152</v>
      </c>
      <c r="K168" s="5" t="n">
        <v>0.35538</v>
      </c>
      <c r="L168" s="4" t="n">
        <f aca="false">IF(G168=$E168,1,0)</f>
        <v>1</v>
      </c>
      <c r="M168" s="4" t="n">
        <f aca="false">IF(OR(G168=$E168,I168=$E168,J168=$E168),1,0)</f>
        <v>1</v>
      </c>
      <c r="N168" s="4" t="n">
        <v>1</v>
      </c>
      <c r="O168" s="9" t="n">
        <f aca="false">-LN(MAX(K168,0.0001))</f>
        <v>1.03456763946521</v>
      </c>
      <c r="P168" s="4" t="s">
        <v>116</v>
      </c>
      <c r="Q168" s="5" t="n">
        <v>0.47448</v>
      </c>
      <c r="R168" s="4" t="s">
        <v>143</v>
      </c>
      <c r="S168" s="4" t="s">
        <v>139</v>
      </c>
      <c r="T168" s="5" t="n">
        <v>0.47448</v>
      </c>
      <c r="U168" s="4" t="n">
        <f aca="false">IF(P168=$E168,1,0)</f>
        <v>1</v>
      </c>
      <c r="V168" s="4" t="n">
        <f aca="false">IF(OR(P168=$E168,R168=$E168,S168=$E168),1,0)</f>
        <v>1</v>
      </c>
      <c r="W168" s="4" t="n">
        <v>2</v>
      </c>
      <c r="X168" s="9" t="n">
        <f aca="false">-LN(MAX(T168,0.0001))</f>
        <v>0.745535811451666</v>
      </c>
      <c r="Y168" s="4" t="s">
        <v>116</v>
      </c>
      <c r="Z168" s="5" t="n">
        <v>0.5536</v>
      </c>
      <c r="AA168" s="4" t="s">
        <v>139</v>
      </c>
      <c r="AB168" s="4" t="s">
        <v>152</v>
      </c>
      <c r="AC168" s="5" t="n">
        <v>0.5536</v>
      </c>
      <c r="AD168" s="4" t="n">
        <f aca="false">IF(Y168=$E168,1,0)</f>
        <v>1</v>
      </c>
      <c r="AE168" s="4" t="n">
        <f aca="false">IF(OR(Y168=$E168,AA168=$E168,AB168=$E168),1,0)</f>
        <v>1</v>
      </c>
      <c r="AF168" s="4" t="n">
        <v>1</v>
      </c>
      <c r="AG168" s="9" t="n">
        <f aca="false">-LN(MAX(AC168,0.0001))</f>
        <v>0.591312874678677</v>
      </c>
    </row>
    <row r="169" customFormat="false" ht="15" hidden="false" customHeight="false" outlineLevel="0" collapsed="false">
      <c r="A169" s="4" t="n">
        <v>2024</v>
      </c>
      <c r="B169" s="4" t="n">
        <v>2</v>
      </c>
      <c r="C169" s="4" t="s">
        <v>159</v>
      </c>
      <c r="D169" s="4" t="s">
        <v>163</v>
      </c>
      <c r="E169" s="4" t="s">
        <v>116</v>
      </c>
      <c r="F169" s="4" t="n">
        <v>1</v>
      </c>
      <c r="G169" s="4" t="s">
        <v>116</v>
      </c>
      <c r="H169" s="5" t="n">
        <v>0.59378</v>
      </c>
      <c r="I169" s="4" t="s">
        <v>143</v>
      </c>
      <c r="J169" s="4" t="s">
        <v>139</v>
      </c>
      <c r="K169" s="5" t="n">
        <v>0.59378</v>
      </c>
      <c r="L169" s="4" t="n">
        <f aca="false">IF(G169=$E169,1,0)</f>
        <v>1</v>
      </c>
      <c r="M169" s="4" t="n">
        <f aca="false">IF(OR(G169=$E169,I169=$E169,J169=$E169),1,0)</f>
        <v>1</v>
      </c>
      <c r="N169" s="4" t="n">
        <v>3</v>
      </c>
      <c r="O169" s="9" t="n">
        <f aca="false">-LN(MAX(K169,0.0001))</f>
        <v>0.521246398593908</v>
      </c>
      <c r="P169" s="4" t="s">
        <v>116</v>
      </c>
      <c r="Q169" s="5" t="n">
        <v>0.57404</v>
      </c>
      <c r="R169" s="4" t="s">
        <v>143</v>
      </c>
      <c r="S169" s="4" t="s">
        <v>139</v>
      </c>
      <c r="T169" s="5" t="n">
        <v>0.57404</v>
      </c>
      <c r="U169" s="4" t="n">
        <f aca="false">IF(P169=$E169,1,0)</f>
        <v>1</v>
      </c>
      <c r="V169" s="4" t="n">
        <f aca="false">IF(OR(P169=$E169,R169=$E169,S169=$E169),1,0)</f>
        <v>1</v>
      </c>
      <c r="W169" s="4" t="n">
        <v>3</v>
      </c>
      <c r="X169" s="9" t="n">
        <f aca="false">-LN(MAX(T169,0.0001))</f>
        <v>0.555056198679406</v>
      </c>
      <c r="Y169" s="4" t="s">
        <v>116</v>
      </c>
      <c r="Z169" s="5" t="n">
        <v>0.54374</v>
      </c>
      <c r="AA169" s="4" t="s">
        <v>139</v>
      </c>
      <c r="AB169" s="4" t="s">
        <v>143</v>
      </c>
      <c r="AC169" s="5" t="n">
        <v>0.54374</v>
      </c>
      <c r="AD169" s="4" t="n">
        <f aca="false">IF(Y169=$E169,1,0)</f>
        <v>1</v>
      </c>
      <c r="AE169" s="4" t="n">
        <f aca="false">IF(OR(Y169=$E169,AA169=$E169,AB169=$E169),1,0)</f>
        <v>1</v>
      </c>
      <c r="AF169" s="4" t="n">
        <v>3</v>
      </c>
      <c r="AG169" s="9" t="n">
        <f aca="false">-LN(MAX(AC169,0.0001))</f>
        <v>0.609284087552954</v>
      </c>
    </row>
    <row r="170" customFormat="false" ht="15" hidden="false" customHeight="false" outlineLevel="0" collapsed="false">
      <c r="A170" s="4" t="n">
        <v>2024</v>
      </c>
      <c r="B170" s="4" t="n">
        <v>3</v>
      </c>
      <c r="C170" s="4" t="s">
        <v>104</v>
      </c>
      <c r="D170" s="4" t="s">
        <v>163</v>
      </c>
      <c r="E170" s="4" t="s">
        <v>142</v>
      </c>
      <c r="F170" s="4" t="n">
        <v>2</v>
      </c>
      <c r="G170" s="4" t="s">
        <v>116</v>
      </c>
      <c r="H170" s="5" t="n">
        <v>0.6202</v>
      </c>
      <c r="I170" s="4" t="s">
        <v>142</v>
      </c>
      <c r="J170" s="4" t="s">
        <v>143</v>
      </c>
      <c r="K170" s="5" t="n">
        <v>0.11446</v>
      </c>
      <c r="L170" s="4" t="n">
        <f aca="false">IF(G170=$E170,1,0)</f>
        <v>0</v>
      </c>
      <c r="M170" s="4" t="n">
        <f aca="false">IF(OR(G170=$E170,I170=$E170,J170=$E170),1,0)</f>
        <v>1</v>
      </c>
      <c r="N170" s="4" t="n">
        <v>1</v>
      </c>
      <c r="O170" s="9" t="n">
        <f aca="false">-LN(MAX(K170,0.0001))</f>
        <v>2.16752986200118</v>
      </c>
      <c r="P170" s="4" t="s">
        <v>116</v>
      </c>
      <c r="Q170" s="5" t="n">
        <v>0.57606</v>
      </c>
      <c r="R170" s="4" t="s">
        <v>143</v>
      </c>
      <c r="S170" s="4" t="s">
        <v>139</v>
      </c>
      <c r="T170" s="5" t="n">
        <v>0.04518</v>
      </c>
      <c r="U170" s="4" t="n">
        <f aca="false">IF(P170=$E170,1,0)</f>
        <v>0</v>
      </c>
      <c r="V170" s="4" t="n">
        <f aca="false">IF(OR(P170=$E170,R170=$E170,S170=$E170),1,0)</f>
        <v>0</v>
      </c>
      <c r="W170" s="4" t="n">
        <v>1</v>
      </c>
      <c r="X170" s="9" t="n">
        <f aca="false">-LN(MAX(T170,0.0001))</f>
        <v>3.09710076794228</v>
      </c>
      <c r="Y170" s="4" t="s">
        <v>116</v>
      </c>
      <c r="Z170" s="5" t="n">
        <v>0.54974</v>
      </c>
      <c r="AA170" s="4" t="s">
        <v>142</v>
      </c>
      <c r="AB170" s="4" t="s">
        <v>140</v>
      </c>
      <c r="AC170" s="5" t="n">
        <v>0.18446</v>
      </c>
      <c r="AD170" s="4" t="n">
        <f aca="false">IF(Y170=$E170,1,0)</f>
        <v>0</v>
      </c>
      <c r="AE170" s="4" t="n">
        <f aca="false">IF(OR(Y170=$E170,AA170=$E170,AB170=$E170),1,0)</f>
        <v>1</v>
      </c>
      <c r="AF170" s="4" t="n">
        <v>2</v>
      </c>
      <c r="AG170" s="9" t="n">
        <f aca="false">-LN(MAX(AC170,0.0001))</f>
        <v>1.69032264117456</v>
      </c>
    </row>
    <row r="171" customFormat="false" ht="15" hidden="false" customHeight="false" outlineLevel="0" collapsed="false">
      <c r="A171" s="4" t="n">
        <v>2024</v>
      </c>
      <c r="B171" s="4" t="n">
        <v>4</v>
      </c>
      <c r="C171" s="4" t="s">
        <v>130</v>
      </c>
      <c r="D171" s="4" t="s">
        <v>163</v>
      </c>
      <c r="E171" s="4" t="s">
        <v>116</v>
      </c>
      <c r="F171" s="4" t="n">
        <v>1</v>
      </c>
      <c r="G171" s="4" t="s">
        <v>143</v>
      </c>
      <c r="H171" s="5" t="n">
        <v>0.38588</v>
      </c>
      <c r="I171" s="4" t="s">
        <v>116</v>
      </c>
      <c r="J171" s="4" t="s">
        <v>142</v>
      </c>
      <c r="K171" s="5" t="n">
        <v>0.29494</v>
      </c>
      <c r="L171" s="4" t="n">
        <f aca="false">IF(G171=$E171,1,0)</f>
        <v>0</v>
      </c>
      <c r="M171" s="4" t="n">
        <f aca="false">IF(OR(G171=$E171,I171=$E171,J171=$E171),1,0)</f>
        <v>1</v>
      </c>
      <c r="N171" s="4" t="n">
        <v>3</v>
      </c>
      <c r="O171" s="9" t="n">
        <f aca="false">-LN(MAX(K171,0.0001))</f>
        <v>1.22098333315934</v>
      </c>
      <c r="P171" s="4" t="s">
        <v>116</v>
      </c>
      <c r="Q171" s="5" t="n">
        <v>0.43516</v>
      </c>
      <c r="R171" s="4" t="s">
        <v>143</v>
      </c>
      <c r="S171" s="4" t="s">
        <v>139</v>
      </c>
      <c r="T171" s="5" t="n">
        <v>0.43516</v>
      </c>
      <c r="U171" s="4" t="n">
        <f aca="false">IF(P171=$E171,1,0)</f>
        <v>1</v>
      </c>
      <c r="V171" s="4" t="n">
        <f aca="false">IF(OR(P171=$E171,R171=$E171,S171=$E171),1,0)</f>
        <v>1</v>
      </c>
      <c r="W171" s="4" t="n">
        <v>2</v>
      </c>
      <c r="X171" s="9" t="n">
        <f aca="false">-LN(MAX(T171,0.0001))</f>
        <v>0.832041499429255</v>
      </c>
      <c r="Y171" s="4" t="s">
        <v>116</v>
      </c>
      <c r="Z171" s="5" t="n">
        <v>0.52428</v>
      </c>
      <c r="AA171" s="4" t="s">
        <v>143</v>
      </c>
      <c r="AB171" s="4" t="s">
        <v>140</v>
      </c>
      <c r="AC171" s="5" t="n">
        <v>0.52428</v>
      </c>
      <c r="AD171" s="4" t="n">
        <f aca="false">IF(Y171=$E171,1,0)</f>
        <v>1</v>
      </c>
      <c r="AE171" s="4" t="n">
        <f aca="false">IF(OR(Y171=$E171,AA171=$E171,AB171=$E171),1,0)</f>
        <v>1</v>
      </c>
      <c r="AF171" s="4" t="n">
        <v>2</v>
      </c>
      <c r="AG171" s="9" t="n">
        <f aca="false">-LN(MAX(AC171,0.0001))</f>
        <v>0.645729386230792</v>
      </c>
    </row>
    <row r="172" customFormat="false" ht="15" hidden="false" customHeight="false" outlineLevel="0" collapsed="false">
      <c r="A172" s="4" t="n">
        <v>2024</v>
      </c>
      <c r="B172" s="4" t="n">
        <v>5</v>
      </c>
      <c r="C172" s="4" t="s">
        <v>110</v>
      </c>
      <c r="D172" s="4" t="s">
        <v>163</v>
      </c>
      <c r="E172" s="4" t="s">
        <v>116</v>
      </c>
      <c r="F172" s="4" t="n">
        <v>1</v>
      </c>
      <c r="G172" s="4" t="s">
        <v>116</v>
      </c>
      <c r="H172" s="5" t="n">
        <v>0.64782</v>
      </c>
      <c r="I172" s="4" t="s">
        <v>143</v>
      </c>
      <c r="J172" s="4" t="s">
        <v>139</v>
      </c>
      <c r="K172" s="5" t="n">
        <v>0.64782</v>
      </c>
      <c r="L172" s="4" t="n">
        <f aca="false">IF(G172=$E172,1,0)</f>
        <v>1</v>
      </c>
      <c r="M172" s="4" t="n">
        <f aca="false">IF(OR(G172=$E172,I172=$E172,J172=$E172),1,0)</f>
        <v>1</v>
      </c>
      <c r="N172" s="4" t="n">
        <v>2</v>
      </c>
      <c r="O172" s="9" t="n">
        <f aca="false">-LN(MAX(K172,0.0001))</f>
        <v>0.434142398995033</v>
      </c>
      <c r="P172" s="4" t="s">
        <v>116</v>
      </c>
      <c r="Q172" s="5" t="n">
        <v>0.49816</v>
      </c>
      <c r="R172" s="4" t="s">
        <v>143</v>
      </c>
      <c r="S172" s="4" t="s">
        <v>139</v>
      </c>
      <c r="T172" s="5" t="n">
        <v>0.49816</v>
      </c>
      <c r="U172" s="4" t="n">
        <f aca="false">IF(P172=$E172,1,0)</f>
        <v>1</v>
      </c>
      <c r="V172" s="4" t="n">
        <f aca="false">IF(OR(P172=$E172,R172=$E172,S172=$E172),1,0)</f>
        <v>1</v>
      </c>
      <c r="W172" s="4" t="n">
        <v>2</v>
      </c>
      <c r="X172" s="9" t="n">
        <f aca="false">-LN(MAX(T172,0.0001))</f>
        <v>0.696833968417941</v>
      </c>
      <c r="Y172" s="4" t="s">
        <v>116</v>
      </c>
      <c r="Z172" s="5" t="n">
        <v>0.52836</v>
      </c>
      <c r="AA172" s="4" t="s">
        <v>143</v>
      </c>
      <c r="AB172" s="4" t="s">
        <v>158</v>
      </c>
      <c r="AC172" s="5" t="n">
        <v>0.52836</v>
      </c>
      <c r="AD172" s="4" t="n">
        <f aca="false">IF(Y172=$E172,1,0)</f>
        <v>1</v>
      </c>
      <c r="AE172" s="4" t="n">
        <f aca="false">IF(OR(Y172=$E172,AA172=$E172,AB172=$E172),1,0)</f>
        <v>1</v>
      </c>
      <c r="AF172" s="4" t="n">
        <v>2</v>
      </c>
      <c r="AG172" s="9" t="n">
        <f aca="false">-LN(MAX(AC172,0.0001))</f>
        <v>0.637977409426474</v>
      </c>
    </row>
    <row r="173" customFormat="false" ht="15" hidden="false" customHeight="false" outlineLevel="0" collapsed="false">
      <c r="A173" s="4" t="n">
        <v>2024</v>
      </c>
      <c r="B173" s="4" t="n">
        <v>6</v>
      </c>
      <c r="C173" s="4" t="s">
        <v>160</v>
      </c>
      <c r="D173" s="4" t="s">
        <v>163</v>
      </c>
      <c r="E173" s="4" t="s">
        <v>140</v>
      </c>
      <c r="F173" s="4" t="n">
        <v>5</v>
      </c>
      <c r="G173" s="4" t="s">
        <v>116</v>
      </c>
      <c r="H173" s="5" t="n">
        <v>0.64928</v>
      </c>
      <c r="I173" s="4" t="s">
        <v>139</v>
      </c>
      <c r="J173" s="4" t="s">
        <v>143</v>
      </c>
      <c r="K173" s="5" t="n">
        <v>0.01096</v>
      </c>
      <c r="L173" s="4" t="n">
        <f aca="false">IF(G173=$E173,1,0)</f>
        <v>0</v>
      </c>
      <c r="M173" s="4" t="n">
        <f aca="false">IF(OR(G173=$E173,I173=$E173,J173=$E173),1,0)</f>
        <v>0</v>
      </c>
      <c r="N173" s="4" t="n">
        <v>2</v>
      </c>
      <c r="O173" s="9" t="n">
        <f aca="false">-LN(MAX(K173,0.0001))</f>
        <v>4.51350299746227</v>
      </c>
      <c r="P173" s="4" t="s">
        <v>116</v>
      </c>
      <c r="Q173" s="5" t="n">
        <v>0.52984</v>
      </c>
      <c r="R173" s="4" t="s">
        <v>143</v>
      </c>
      <c r="S173" s="4" t="s">
        <v>139</v>
      </c>
      <c r="T173" s="5" t="n">
        <v>0.05794</v>
      </c>
      <c r="U173" s="4" t="n">
        <f aca="false">IF(P173=$E173,1,0)</f>
        <v>0</v>
      </c>
      <c r="V173" s="4" t="n">
        <f aca="false">IF(OR(P173=$E173,R173=$E173,S173=$E173),1,0)</f>
        <v>0</v>
      </c>
      <c r="W173" s="4" t="n">
        <v>2</v>
      </c>
      <c r="X173" s="9" t="n">
        <f aca="false">-LN(MAX(T173,0.0001))</f>
        <v>2.84834728664093</v>
      </c>
      <c r="Y173" s="4" t="s">
        <v>116</v>
      </c>
      <c r="Z173" s="5" t="n">
        <v>0.52756</v>
      </c>
      <c r="AA173" s="4" t="s">
        <v>139</v>
      </c>
      <c r="AB173" s="4" t="s">
        <v>142</v>
      </c>
      <c r="AC173" s="5" t="n">
        <v>0.03554</v>
      </c>
      <c r="AD173" s="4" t="n">
        <f aca="false">IF(Y173=$E173,1,0)</f>
        <v>0</v>
      </c>
      <c r="AE173" s="4" t="n">
        <f aca="false">IF(OR(Y173=$E173,AA173=$E173,AB173=$E173),1,0)</f>
        <v>0</v>
      </c>
      <c r="AF173" s="4" t="n">
        <v>2</v>
      </c>
      <c r="AG173" s="9" t="n">
        <f aca="false">-LN(MAX(AC173,0.0001))</f>
        <v>3.33709645625563</v>
      </c>
    </row>
    <row r="174" customFormat="false" ht="15" hidden="false" customHeight="false" outlineLevel="0" collapsed="false">
      <c r="A174" s="4" t="n">
        <v>2024</v>
      </c>
      <c r="B174" s="4" t="n">
        <v>7</v>
      </c>
      <c r="C174" s="4" t="s">
        <v>149</v>
      </c>
      <c r="D174" s="4" t="s">
        <v>163</v>
      </c>
      <c r="E174" s="4" t="s">
        <v>116</v>
      </c>
      <c r="F174" s="4" t="n">
        <v>1</v>
      </c>
      <c r="G174" s="4" t="s">
        <v>116</v>
      </c>
      <c r="H174" s="5" t="n">
        <v>0.48674</v>
      </c>
      <c r="I174" s="4" t="s">
        <v>140</v>
      </c>
      <c r="J174" s="4" t="s">
        <v>139</v>
      </c>
      <c r="K174" s="5" t="n">
        <v>0.48674</v>
      </c>
      <c r="L174" s="4" t="n">
        <f aca="false">IF(G174=$E174,1,0)</f>
        <v>1</v>
      </c>
      <c r="M174" s="4" t="n">
        <f aca="false">IF(OR(G174=$E174,I174=$E174,J174=$E174),1,0)</f>
        <v>1</v>
      </c>
      <c r="N174" s="4" t="n">
        <v>3</v>
      </c>
      <c r="O174" s="9" t="n">
        <f aca="false">-LN(MAX(K174,0.0001))</f>
        <v>0.720025179368192</v>
      </c>
      <c r="P174" s="4" t="s">
        <v>116</v>
      </c>
      <c r="Q174" s="5" t="n">
        <v>0.52324</v>
      </c>
      <c r="R174" s="4" t="s">
        <v>143</v>
      </c>
      <c r="S174" s="4" t="s">
        <v>139</v>
      </c>
      <c r="T174" s="5" t="n">
        <v>0.52324</v>
      </c>
      <c r="U174" s="4" t="n">
        <f aca="false">IF(P174=$E174,1,0)</f>
        <v>1</v>
      </c>
      <c r="V174" s="4" t="n">
        <f aca="false">IF(OR(P174=$E174,R174=$E174,S174=$E174),1,0)</f>
        <v>1</v>
      </c>
      <c r="W174" s="4" t="n">
        <v>2</v>
      </c>
      <c r="X174" s="9" t="n">
        <f aca="false">-LN(MAX(T174,0.0001))</f>
        <v>0.647715029162111</v>
      </c>
      <c r="Y174" s="4" t="s">
        <v>116</v>
      </c>
      <c r="Z174" s="5" t="n">
        <v>0.52286</v>
      </c>
      <c r="AA174" s="4" t="s">
        <v>140</v>
      </c>
      <c r="AB174" s="4" t="s">
        <v>139</v>
      </c>
      <c r="AC174" s="5" t="n">
        <v>0.52286</v>
      </c>
      <c r="AD174" s="4" t="n">
        <f aca="false">IF(Y174=$E174,1,0)</f>
        <v>1</v>
      </c>
      <c r="AE174" s="4" t="n">
        <f aca="false">IF(OR(Y174=$E174,AA174=$E174,AB174=$E174),1,0)</f>
        <v>1</v>
      </c>
      <c r="AF174" s="4" t="n">
        <v>3</v>
      </c>
      <c r="AG174" s="9" t="n">
        <f aca="false">-LN(MAX(AC174,0.0001))</f>
        <v>0.648441537176094</v>
      </c>
    </row>
    <row r="175" customFormat="false" ht="15" hidden="false" customHeight="false" outlineLevel="0" collapsed="false">
      <c r="A175" s="4" t="n">
        <v>2024</v>
      </c>
      <c r="B175" s="4" t="n">
        <v>8</v>
      </c>
      <c r="C175" s="4" t="s">
        <v>117</v>
      </c>
      <c r="D175" s="4" t="s">
        <v>163</v>
      </c>
      <c r="E175" s="4" t="s">
        <v>139</v>
      </c>
      <c r="F175" s="4" t="n">
        <v>1</v>
      </c>
      <c r="G175" s="4" t="s">
        <v>139</v>
      </c>
      <c r="H175" s="5" t="n">
        <v>0.43824</v>
      </c>
      <c r="I175" s="4" t="s">
        <v>140</v>
      </c>
      <c r="J175" s="4" t="s">
        <v>161</v>
      </c>
      <c r="K175" s="5" t="n">
        <v>0.43824</v>
      </c>
      <c r="L175" s="4" t="n">
        <f aca="false">IF(G175=$E175,1,0)</f>
        <v>1</v>
      </c>
      <c r="M175" s="4" t="n">
        <f aca="false">IF(OR(G175=$E175,I175=$E175,J175=$E175),1,0)</f>
        <v>1</v>
      </c>
      <c r="N175" s="4" t="n">
        <v>2</v>
      </c>
      <c r="O175" s="9" t="n">
        <f aca="false">-LN(MAX(K175,0.0001))</f>
        <v>0.824988573467369</v>
      </c>
      <c r="P175" s="4" t="s">
        <v>116</v>
      </c>
      <c r="Q175" s="5" t="n">
        <v>0.5519</v>
      </c>
      <c r="R175" s="4" t="s">
        <v>143</v>
      </c>
      <c r="S175" s="4" t="s">
        <v>139</v>
      </c>
      <c r="T175" s="5" t="n">
        <v>0.1105</v>
      </c>
      <c r="U175" s="4" t="n">
        <f aca="false">IF(P175=$E175,1,0)</f>
        <v>0</v>
      </c>
      <c r="V175" s="4" t="n">
        <f aca="false">IF(OR(P175=$E175,R175=$E175,S175=$E175),1,0)</f>
        <v>1</v>
      </c>
      <c r="W175" s="4" t="n">
        <v>1</v>
      </c>
      <c r="X175" s="9" t="n">
        <f aca="false">-LN(MAX(T175,0.0001))</f>
        <v>2.20273975802433</v>
      </c>
      <c r="Y175" s="4" t="s">
        <v>139</v>
      </c>
      <c r="Z175" s="5" t="n">
        <v>0.518</v>
      </c>
      <c r="AA175" s="4" t="s">
        <v>161</v>
      </c>
      <c r="AB175" s="4" t="s">
        <v>142</v>
      </c>
      <c r="AC175" s="5" t="n">
        <v>0.518</v>
      </c>
      <c r="AD175" s="4" t="n">
        <f aca="false">IF(Y175=$E175,1,0)</f>
        <v>1</v>
      </c>
      <c r="AE175" s="4" t="n">
        <f aca="false">IF(OR(Y175=$E175,AA175=$E175,AB175=$E175),1,0)</f>
        <v>1</v>
      </c>
      <c r="AF175" s="4" t="n">
        <v>3</v>
      </c>
      <c r="AG175" s="9" t="n">
        <f aca="false">-LN(MAX(AC175,0.0001))</f>
        <v>0.657780036722654</v>
      </c>
    </row>
    <row r="176" customFormat="false" ht="15" hidden="false" customHeight="false" outlineLevel="0" collapsed="false">
      <c r="A176" s="4" t="n">
        <v>2024</v>
      </c>
      <c r="B176" s="4" t="n">
        <v>9</v>
      </c>
      <c r="C176" s="4" t="s">
        <v>118</v>
      </c>
      <c r="D176" s="4" t="s">
        <v>163</v>
      </c>
      <c r="E176" s="4" t="s">
        <v>116</v>
      </c>
      <c r="F176" s="4" t="n">
        <v>2</v>
      </c>
      <c r="G176" s="4" t="s">
        <v>152</v>
      </c>
      <c r="H176" s="5" t="n">
        <v>0.3361</v>
      </c>
      <c r="I176" s="4" t="s">
        <v>116</v>
      </c>
      <c r="J176" s="4" t="s">
        <v>140</v>
      </c>
      <c r="K176" s="5" t="n">
        <v>0.2225</v>
      </c>
      <c r="L176" s="4" t="n">
        <f aca="false">IF(G176=$E176,1,0)</f>
        <v>0</v>
      </c>
      <c r="M176" s="4" t="n">
        <f aca="false">IF(OR(G176=$E176,I176=$E176,J176=$E176),1,0)</f>
        <v>1</v>
      </c>
      <c r="N176" s="4" t="n">
        <v>3</v>
      </c>
      <c r="O176" s="9" t="n">
        <f aca="false">-LN(MAX(K176,0.0001))</f>
        <v>1.50282817737584</v>
      </c>
      <c r="P176" s="4" t="s">
        <v>116</v>
      </c>
      <c r="Q176" s="5" t="n">
        <v>0.45662</v>
      </c>
      <c r="R176" s="4" t="s">
        <v>139</v>
      </c>
      <c r="S176" s="4" t="s">
        <v>140</v>
      </c>
      <c r="T176" s="5" t="n">
        <v>0.45662</v>
      </c>
      <c r="U176" s="4" t="n">
        <f aca="false">IF(P176=$E176,1,0)</f>
        <v>1</v>
      </c>
      <c r="V176" s="4" t="n">
        <f aca="false">IF(OR(P176=$E176,R176=$E176,S176=$E176),1,0)</f>
        <v>1</v>
      </c>
      <c r="W176" s="4" t="n">
        <v>2</v>
      </c>
      <c r="X176" s="9" t="n">
        <f aca="false">-LN(MAX(T176,0.0001))</f>
        <v>0.783903743830829</v>
      </c>
      <c r="Y176" s="4" t="s">
        <v>152</v>
      </c>
      <c r="Z176" s="5" t="n">
        <v>0.51412</v>
      </c>
      <c r="AA176" s="4" t="s">
        <v>116</v>
      </c>
      <c r="AB176" s="4" t="s">
        <v>140</v>
      </c>
      <c r="AC176" s="5" t="n">
        <v>0.19996</v>
      </c>
      <c r="AD176" s="4" t="n">
        <f aca="false">IF(Y176=$E176,1,0)</f>
        <v>0</v>
      </c>
      <c r="AE176" s="4" t="n">
        <f aca="false">IF(OR(Y176=$E176,AA176=$E176,AB176=$E176),1,0)</f>
        <v>1</v>
      </c>
      <c r="AF176" s="4" t="n">
        <v>3</v>
      </c>
      <c r="AG176" s="9" t="n">
        <f aca="false">-LN(MAX(AC176,0.0001))</f>
        <v>1.60963793243677</v>
      </c>
    </row>
    <row r="177" customFormat="false" ht="15" hidden="false" customHeight="false" outlineLevel="0" collapsed="false">
      <c r="A177" s="4" t="n">
        <v>2024</v>
      </c>
      <c r="B177" s="4" t="n">
        <v>10</v>
      </c>
      <c r="C177" s="4" t="s">
        <v>115</v>
      </c>
      <c r="D177" s="4" t="s">
        <v>163</v>
      </c>
      <c r="E177" s="4" t="s">
        <v>116</v>
      </c>
      <c r="F177" s="4" t="n">
        <v>2</v>
      </c>
      <c r="G177" s="4" t="s">
        <v>140</v>
      </c>
      <c r="H177" s="5" t="n">
        <v>0.46354</v>
      </c>
      <c r="I177" s="4" t="s">
        <v>116</v>
      </c>
      <c r="J177" s="4" t="s">
        <v>107</v>
      </c>
      <c r="K177" s="5" t="n">
        <v>0.25752</v>
      </c>
      <c r="L177" s="4" t="n">
        <f aca="false">IF(G177=$E177,1,0)</f>
        <v>0</v>
      </c>
      <c r="M177" s="4" t="n">
        <f aca="false">IF(OR(G177=$E177,I177=$E177,J177=$E177),1,0)</f>
        <v>1</v>
      </c>
      <c r="N177" s="4" t="n">
        <v>3</v>
      </c>
      <c r="O177" s="9" t="n">
        <f aca="false">-LN(MAX(K177,0.0001))</f>
        <v>1.35665789199158</v>
      </c>
      <c r="P177" s="4" t="s">
        <v>116</v>
      </c>
      <c r="Q177" s="5" t="n">
        <v>0.52768</v>
      </c>
      <c r="R177" s="4" t="s">
        <v>140</v>
      </c>
      <c r="S177" s="4" t="s">
        <v>139</v>
      </c>
      <c r="T177" s="5" t="n">
        <v>0.52768</v>
      </c>
      <c r="U177" s="4" t="n">
        <f aca="false">IF(P177=$E177,1,0)</f>
        <v>1</v>
      </c>
      <c r="V177" s="4" t="n">
        <f aca="false">IF(OR(P177=$E177,R177=$E177,S177=$E177),1,0)</f>
        <v>1</v>
      </c>
      <c r="W177" s="4" t="n">
        <v>2</v>
      </c>
      <c r="X177" s="9" t="n">
        <f aca="false">-LN(MAX(T177,0.0001))</f>
        <v>0.639265239610903</v>
      </c>
      <c r="Y177" s="4" t="s">
        <v>140</v>
      </c>
      <c r="Z177" s="5" t="n">
        <v>0.54502</v>
      </c>
      <c r="AA177" s="4" t="s">
        <v>116</v>
      </c>
      <c r="AB177" s="4" t="s">
        <v>107</v>
      </c>
      <c r="AC177" s="5" t="n">
        <v>0.1898</v>
      </c>
      <c r="AD177" s="4" t="n">
        <f aca="false">IF(Y177=$E177,1,0)</f>
        <v>0</v>
      </c>
      <c r="AE177" s="4" t="n">
        <f aca="false">IF(OR(Y177=$E177,AA177=$E177,AB177=$E177),1,0)</f>
        <v>1</v>
      </c>
      <c r="AF177" s="4" t="n">
        <v>3</v>
      </c>
      <c r="AG177" s="9" t="n">
        <f aca="false">-LN(MAX(AC177,0.0001))</f>
        <v>1.66178439280631</v>
      </c>
    </row>
    <row r="178" customFormat="false" ht="15" hidden="false" customHeight="false" outlineLevel="0" collapsed="false">
      <c r="A178" s="4" t="n">
        <v>2024</v>
      </c>
      <c r="B178" s="4" t="n">
        <v>11</v>
      </c>
      <c r="C178" s="4" t="s">
        <v>120</v>
      </c>
      <c r="D178" s="4" t="s">
        <v>163</v>
      </c>
      <c r="E178" s="4" t="s">
        <v>152</v>
      </c>
      <c r="F178" s="4" t="n">
        <v>3</v>
      </c>
      <c r="G178" s="4" t="s">
        <v>116</v>
      </c>
      <c r="H178" s="5" t="n">
        <v>0.73022</v>
      </c>
      <c r="I178" s="4" t="s">
        <v>140</v>
      </c>
      <c r="J178" s="4" t="s">
        <v>152</v>
      </c>
      <c r="K178" s="5" t="n">
        <v>0.04746</v>
      </c>
      <c r="L178" s="4" t="n">
        <f aca="false">IF(G178=$E178,1,0)</f>
        <v>0</v>
      </c>
      <c r="M178" s="4" t="n">
        <f aca="false">IF(OR(G178=$E178,I178=$E178,J178=$E178),1,0)</f>
        <v>1</v>
      </c>
      <c r="N178" s="4" t="n">
        <v>1</v>
      </c>
      <c r="O178" s="9" t="n">
        <f aca="false">-LN(MAX(K178,0.0001))</f>
        <v>3.04786802797452</v>
      </c>
      <c r="P178" s="4" t="s">
        <v>116</v>
      </c>
      <c r="Q178" s="5" t="n">
        <v>0.53798</v>
      </c>
      <c r="R178" s="4" t="s">
        <v>140</v>
      </c>
      <c r="S178" s="4" t="s">
        <v>139</v>
      </c>
      <c r="T178" s="5" t="n">
        <v>0.0279</v>
      </c>
      <c r="U178" s="4" t="n">
        <f aca="false">IF(P178=$E178,1,0)</f>
        <v>0</v>
      </c>
      <c r="V178" s="4" t="n">
        <f aca="false">IF(OR(P178=$E178,R178=$E178,S178=$E178),1,0)</f>
        <v>0</v>
      </c>
      <c r="W178" s="4" t="n">
        <v>0</v>
      </c>
      <c r="X178" s="9" t="n">
        <f aca="false">-LN(MAX(T178,0.0001))</f>
        <v>3.57912859015482</v>
      </c>
      <c r="Y178" s="4" t="s">
        <v>116</v>
      </c>
      <c r="Z178" s="5" t="n">
        <v>0.50624</v>
      </c>
      <c r="AA178" s="4" t="s">
        <v>140</v>
      </c>
      <c r="AB178" s="4" t="s">
        <v>152</v>
      </c>
      <c r="AC178" s="5" t="n">
        <v>0.09212</v>
      </c>
      <c r="AD178" s="4" t="n">
        <f aca="false">IF(Y178=$E178,1,0)</f>
        <v>0</v>
      </c>
      <c r="AE178" s="4" t="n">
        <f aca="false">IF(OR(Y178=$E178,AA178=$E178,AB178=$E178),1,0)</f>
        <v>1</v>
      </c>
      <c r="AF178" s="4" t="n">
        <v>1</v>
      </c>
      <c r="AG178" s="9" t="n">
        <f aca="false">-LN(MAX(AC178,0.0001))</f>
        <v>2.38466320402965</v>
      </c>
    </row>
    <row r="179" customFormat="false" ht="15" hidden="false" customHeight="false" outlineLevel="0" collapsed="false">
      <c r="A179" s="4" t="n">
        <v>2024</v>
      </c>
      <c r="B179" s="4" t="n">
        <v>12</v>
      </c>
      <c r="C179" s="4" t="s">
        <v>123</v>
      </c>
      <c r="D179" s="4" t="s">
        <v>163</v>
      </c>
      <c r="E179" s="4" t="s">
        <v>107</v>
      </c>
      <c r="F179" s="4" t="n">
        <v>2</v>
      </c>
      <c r="G179" s="4" t="s">
        <v>152</v>
      </c>
      <c r="H179" s="5" t="n">
        <v>0.50602</v>
      </c>
      <c r="I179" s="4" t="s">
        <v>107</v>
      </c>
      <c r="J179" s="4" t="s">
        <v>116</v>
      </c>
      <c r="K179" s="5" t="n">
        <v>0.18724</v>
      </c>
      <c r="L179" s="4" t="n">
        <f aca="false">IF(G179=$E179,1,0)</f>
        <v>0</v>
      </c>
      <c r="M179" s="4" t="n">
        <f aca="false">IF(OR(G179=$E179,I179=$E179,J179=$E179),1,0)</f>
        <v>1</v>
      </c>
      <c r="N179" s="4" t="n">
        <v>2</v>
      </c>
      <c r="O179" s="9" t="n">
        <f aca="false">-LN(MAX(K179,0.0001))</f>
        <v>1.67536406255027</v>
      </c>
      <c r="P179" s="4" t="s">
        <v>116</v>
      </c>
      <c r="Q179" s="5" t="n">
        <v>0.51502</v>
      </c>
      <c r="R179" s="4" t="s">
        <v>139</v>
      </c>
      <c r="S179" s="4" t="s">
        <v>142</v>
      </c>
      <c r="T179" s="5" t="n">
        <v>0.0567</v>
      </c>
      <c r="U179" s="4" t="n">
        <f aca="false">IF(P179=$E179,1,0)</f>
        <v>0</v>
      </c>
      <c r="V179" s="4" t="n">
        <f aca="false">IF(OR(P179=$E179,R179=$E179,S179=$E179),1,0)</f>
        <v>0</v>
      </c>
      <c r="W179" s="4" t="n">
        <v>1</v>
      </c>
      <c r="X179" s="9" t="n">
        <f aca="false">-LN(MAX(T179,0.0001))</f>
        <v>2.86998106824843</v>
      </c>
      <c r="Y179" s="4" t="s">
        <v>152</v>
      </c>
      <c r="Z179" s="5" t="n">
        <v>0.53612</v>
      </c>
      <c r="AA179" s="4" t="s">
        <v>107</v>
      </c>
      <c r="AB179" s="4" t="s">
        <v>140</v>
      </c>
      <c r="AC179" s="5" t="n">
        <v>0.1982</v>
      </c>
      <c r="AD179" s="4" t="n">
        <f aca="false">IF(Y179=$E179,1,0)</f>
        <v>0</v>
      </c>
      <c r="AE179" s="4" t="n">
        <f aca="false">IF(OR(Y179=$E179,AA179=$E179,AB179=$E179),1,0)</f>
        <v>1</v>
      </c>
      <c r="AF179" s="4" t="n">
        <v>2</v>
      </c>
      <c r="AG179" s="9" t="n">
        <f aca="false">-LN(MAX(AC179,0.0001))</f>
        <v>1.61847865708625</v>
      </c>
    </row>
    <row r="180" customFormat="false" ht="15" hidden="false" customHeight="false" outlineLevel="0" collapsed="false">
      <c r="A180" s="4" t="n">
        <v>2024</v>
      </c>
      <c r="B180" s="4" t="n">
        <v>13</v>
      </c>
      <c r="C180" s="4" t="s">
        <v>124</v>
      </c>
      <c r="D180" s="4" t="s">
        <v>163</v>
      </c>
      <c r="E180" s="4" t="s">
        <v>161</v>
      </c>
      <c r="F180" s="4" t="n">
        <v>2</v>
      </c>
      <c r="G180" s="4" t="s">
        <v>140</v>
      </c>
      <c r="H180" s="5" t="n">
        <v>0.3744</v>
      </c>
      <c r="I180" s="4" t="s">
        <v>161</v>
      </c>
      <c r="J180" s="4" t="s">
        <v>107</v>
      </c>
      <c r="K180" s="5" t="n">
        <v>0.29744</v>
      </c>
      <c r="L180" s="4" t="n">
        <f aca="false">IF(G180=$E180,1,0)</f>
        <v>0</v>
      </c>
      <c r="M180" s="4" t="n">
        <f aca="false">IF(OR(G180=$E180,I180=$E180,J180=$E180),1,0)</f>
        <v>1</v>
      </c>
      <c r="N180" s="4" t="n">
        <v>3</v>
      </c>
      <c r="O180" s="9" t="n">
        <f aca="false">-LN(MAX(K180,0.0001))</f>
        <v>1.212542755009</v>
      </c>
      <c r="P180" s="4" t="s">
        <v>116</v>
      </c>
      <c r="Q180" s="5" t="n">
        <v>0.31346</v>
      </c>
      <c r="R180" s="4" t="s">
        <v>107</v>
      </c>
      <c r="S180" s="4" t="s">
        <v>142</v>
      </c>
      <c r="T180" s="5" t="n">
        <v>0.08576</v>
      </c>
      <c r="U180" s="4" t="n">
        <f aca="false">IF(P180=$E180,1,0)</f>
        <v>0</v>
      </c>
      <c r="V180" s="4" t="n">
        <f aca="false">IF(OR(P180=$E180,R180=$E180,S180=$E180),1,0)</f>
        <v>0</v>
      </c>
      <c r="W180" s="4" t="n">
        <v>2</v>
      </c>
      <c r="X180" s="9" t="n">
        <f aca="false">-LN(MAX(T180,0.0001))</f>
        <v>2.45620258165965</v>
      </c>
      <c r="Y180" s="4" t="s">
        <v>140</v>
      </c>
      <c r="Z180" s="5" t="n">
        <v>0.54884</v>
      </c>
      <c r="AA180" s="4" t="s">
        <v>161</v>
      </c>
      <c r="AB180" s="4" t="s">
        <v>116</v>
      </c>
      <c r="AC180" s="5" t="n">
        <v>0.19604</v>
      </c>
      <c r="AD180" s="4" t="n">
        <f aca="false">IF(Y180=$E180,1,0)</f>
        <v>0</v>
      </c>
      <c r="AE180" s="4" t="n">
        <f aca="false">IF(OR(Y180=$E180,AA180=$E180,AB180=$E180),1,0)</f>
        <v>1</v>
      </c>
      <c r="AF180" s="4" t="n">
        <v>2</v>
      </c>
      <c r="AG180" s="9" t="n">
        <f aca="false">-LN(MAX(AC180,0.0001))</f>
        <v>1.62943655894079</v>
      </c>
    </row>
    <row r="181" customFormat="false" ht="15" hidden="false" customHeight="false" outlineLevel="0" collapsed="false">
      <c r="A181" s="4" t="n">
        <v>2024</v>
      </c>
      <c r="B181" s="4" t="n">
        <v>14</v>
      </c>
      <c r="C181" s="4" t="s">
        <v>126</v>
      </c>
      <c r="D181" s="4" t="s">
        <v>163</v>
      </c>
      <c r="E181" s="4" t="s">
        <v>107</v>
      </c>
      <c r="F181" s="4" t="n">
        <v>3</v>
      </c>
      <c r="G181" s="4" t="s">
        <v>139</v>
      </c>
      <c r="H181" s="5" t="n">
        <v>0.26044</v>
      </c>
      <c r="I181" s="4" t="s">
        <v>107</v>
      </c>
      <c r="J181" s="4" t="s">
        <v>161</v>
      </c>
      <c r="K181" s="5" t="n">
        <v>0.25194</v>
      </c>
      <c r="L181" s="4" t="n">
        <f aca="false">IF(G181=$E181,1,0)</f>
        <v>0</v>
      </c>
      <c r="M181" s="4" t="n">
        <f aca="false">IF(OR(G181=$E181,I181=$E181,J181=$E181),1,0)</f>
        <v>1</v>
      </c>
      <c r="N181" s="4" t="n">
        <v>3</v>
      </c>
      <c r="O181" s="9" t="n">
        <f aca="false">-LN(MAX(K181,0.0001))</f>
        <v>1.37856431505798</v>
      </c>
      <c r="P181" s="4" t="s">
        <v>116</v>
      </c>
      <c r="Q181" s="5" t="n">
        <v>0.30484</v>
      </c>
      <c r="R181" s="4" t="s">
        <v>140</v>
      </c>
      <c r="S181" s="4" t="s">
        <v>107</v>
      </c>
      <c r="T181" s="5" t="n">
        <v>0.12058</v>
      </c>
      <c r="U181" s="4" t="n">
        <f aca="false">IF(P181=$E181,1,0)</f>
        <v>0</v>
      </c>
      <c r="V181" s="4" t="n">
        <f aca="false">IF(OR(P181=$E181,R181=$E181,S181=$E181),1,0)</f>
        <v>1</v>
      </c>
      <c r="W181" s="4" t="n">
        <v>1</v>
      </c>
      <c r="X181" s="9" t="n">
        <f aca="false">-LN(MAX(T181,0.0001))</f>
        <v>2.11544184592088</v>
      </c>
      <c r="Y181" s="4" t="s">
        <v>139</v>
      </c>
      <c r="Z181" s="5" t="n">
        <v>0.53322</v>
      </c>
      <c r="AA181" s="4" t="s">
        <v>143</v>
      </c>
      <c r="AB181" s="4" t="s">
        <v>107</v>
      </c>
      <c r="AC181" s="5" t="n">
        <v>0.0882</v>
      </c>
      <c r="AD181" s="4" t="n">
        <f aca="false">IF(Y181=$E181,1,0)</f>
        <v>0</v>
      </c>
      <c r="AE181" s="4" t="n">
        <f aca="false">IF(OR(Y181=$E181,AA181=$E181,AB181=$E181),1,0)</f>
        <v>1</v>
      </c>
      <c r="AF181" s="4" t="n">
        <v>2</v>
      </c>
      <c r="AG181" s="9" t="n">
        <f aca="false">-LN(MAX(AC181,0.0001))</f>
        <v>2.42814831596939</v>
      </c>
    </row>
    <row r="182" customFormat="false" ht="15" hidden="false" customHeight="false" outlineLevel="0" collapsed="false">
      <c r="A182" s="4" t="n">
        <v>2024</v>
      </c>
      <c r="B182" s="4" t="n">
        <v>15</v>
      </c>
      <c r="C182" s="4" t="s">
        <v>154</v>
      </c>
      <c r="D182" s="4" t="s">
        <v>163</v>
      </c>
      <c r="E182" s="4" t="s">
        <v>140</v>
      </c>
      <c r="F182" s="4" t="n">
        <v>1</v>
      </c>
      <c r="G182" s="4" t="s">
        <v>140</v>
      </c>
      <c r="H182" s="5" t="n">
        <v>0.56032</v>
      </c>
      <c r="I182" s="4" t="s">
        <v>161</v>
      </c>
      <c r="J182" s="4" t="s">
        <v>116</v>
      </c>
      <c r="K182" s="5" t="n">
        <v>0.56032</v>
      </c>
      <c r="L182" s="4" t="n">
        <f aca="false">IF(G182=$E182,1,0)</f>
        <v>1</v>
      </c>
      <c r="M182" s="4" t="n">
        <f aca="false">IF(OR(G182=$E182,I182=$E182,J182=$E182),1,0)</f>
        <v>1</v>
      </c>
      <c r="N182" s="4" t="n">
        <v>2</v>
      </c>
      <c r="O182" s="9" t="n">
        <f aca="false">-LN(MAX(K182,0.0001))</f>
        <v>0.57924722988465</v>
      </c>
      <c r="P182" s="4" t="s">
        <v>116</v>
      </c>
      <c r="Q182" s="5" t="n">
        <v>0.34198</v>
      </c>
      <c r="R182" s="4" t="s">
        <v>107</v>
      </c>
      <c r="S182" s="4" t="s">
        <v>140</v>
      </c>
      <c r="T182" s="5" t="n">
        <v>0.1237</v>
      </c>
      <c r="U182" s="4" t="n">
        <f aca="false">IF(P182=$E182,1,0)</f>
        <v>0</v>
      </c>
      <c r="V182" s="4" t="n">
        <f aca="false">IF(OR(P182=$E182,R182=$E182,S182=$E182),1,0)</f>
        <v>1</v>
      </c>
      <c r="W182" s="4" t="n">
        <v>2</v>
      </c>
      <c r="X182" s="9" t="n">
        <f aca="false">-LN(MAX(T182,0.0001))</f>
        <v>2.08989599958369</v>
      </c>
      <c r="Y182" s="4" t="s">
        <v>140</v>
      </c>
      <c r="Z182" s="5" t="n">
        <v>0.563</v>
      </c>
      <c r="AA182" s="4" t="s">
        <v>116</v>
      </c>
      <c r="AB182" s="4" t="s">
        <v>161</v>
      </c>
      <c r="AC182" s="5" t="n">
        <v>0.563</v>
      </c>
      <c r="AD182" s="4" t="n">
        <f aca="false">IF(Y182=$E182,1,0)</f>
        <v>1</v>
      </c>
      <c r="AE182" s="4" t="n">
        <f aca="false">IF(OR(Y182=$E182,AA182=$E182,AB182=$E182),1,0)</f>
        <v>1</v>
      </c>
      <c r="AF182" s="4" t="n">
        <v>2</v>
      </c>
      <c r="AG182" s="9" t="n">
        <f aca="false">-LN(MAX(AC182,0.0001))</f>
        <v>0.574475650842447</v>
      </c>
    </row>
    <row r="183" customFormat="false" ht="15" hidden="false" customHeight="false" outlineLevel="0" collapsed="false">
      <c r="A183" s="4" t="n">
        <v>2024</v>
      </c>
      <c r="B183" s="4" t="n">
        <v>16</v>
      </c>
      <c r="C183" s="4" t="s">
        <v>127</v>
      </c>
      <c r="D183" s="4" t="s">
        <v>163</v>
      </c>
      <c r="E183" s="4" t="s">
        <v>139</v>
      </c>
      <c r="F183" s="4" t="n">
        <v>4</v>
      </c>
      <c r="G183" s="4" t="s">
        <v>140</v>
      </c>
      <c r="H183" s="5" t="n">
        <v>0.4809</v>
      </c>
      <c r="I183" s="4" t="s">
        <v>161</v>
      </c>
      <c r="J183" s="4" t="s">
        <v>107</v>
      </c>
      <c r="K183" s="5" t="n">
        <v>0.0661</v>
      </c>
      <c r="L183" s="4" t="n">
        <f aca="false">IF(G183=$E183,1,0)</f>
        <v>0</v>
      </c>
      <c r="M183" s="4" t="n">
        <f aca="false">IF(OR(G183=$E183,I183=$E183,J183=$E183),1,0)</f>
        <v>0</v>
      </c>
      <c r="N183" s="4" t="n">
        <v>3</v>
      </c>
      <c r="O183" s="9" t="n">
        <f aca="false">-LN(MAX(K183,0.0001))</f>
        <v>2.7165865321245</v>
      </c>
      <c r="P183" s="4" t="s">
        <v>116</v>
      </c>
      <c r="Q183" s="5" t="n">
        <v>0.38056</v>
      </c>
      <c r="R183" s="4" t="s">
        <v>140</v>
      </c>
      <c r="S183" s="4" t="s">
        <v>161</v>
      </c>
      <c r="T183" s="5" t="n">
        <v>0.09544</v>
      </c>
      <c r="U183" s="4" t="n">
        <f aca="false">IF(P183=$E183,1,0)</f>
        <v>0</v>
      </c>
      <c r="V183" s="4" t="n">
        <f aca="false">IF(OR(P183=$E183,R183=$E183,S183=$E183),1,0)</f>
        <v>0</v>
      </c>
      <c r="W183" s="4" t="n">
        <v>2</v>
      </c>
      <c r="X183" s="9" t="n">
        <f aca="false">-LN(MAX(T183,0.0001))</f>
        <v>2.34925750119248</v>
      </c>
      <c r="Y183" s="4" t="s">
        <v>140</v>
      </c>
      <c r="Z183" s="5" t="n">
        <v>0.5586</v>
      </c>
      <c r="AA183" s="4" t="s">
        <v>161</v>
      </c>
      <c r="AB183" s="4" t="s">
        <v>152</v>
      </c>
      <c r="AC183" s="5" t="n">
        <v>0.04644</v>
      </c>
      <c r="AD183" s="4" t="n">
        <f aca="false">IF(Y183=$E183,1,0)</f>
        <v>0</v>
      </c>
      <c r="AE183" s="4" t="n">
        <f aca="false">IF(OR(Y183=$E183,AA183=$E183,AB183=$E183),1,0)</f>
        <v>0</v>
      </c>
      <c r="AF183" s="4" t="n">
        <v>2</v>
      </c>
      <c r="AG183" s="9" t="n">
        <f aca="false">-LN(MAX(AC183,0.0001))</f>
        <v>3.06959412215245</v>
      </c>
    </row>
    <row r="184" customFormat="false" ht="15" hidden="false" customHeight="false" outlineLevel="0" collapsed="false">
      <c r="A184" s="4" t="n">
        <v>2024</v>
      </c>
      <c r="B184" s="4" t="n">
        <v>17</v>
      </c>
      <c r="C184" s="4" t="s">
        <v>135</v>
      </c>
      <c r="D184" s="4" t="s">
        <v>163</v>
      </c>
      <c r="E184" s="4" t="s">
        <v>161</v>
      </c>
      <c r="F184" s="4" t="n">
        <v>2</v>
      </c>
      <c r="G184" s="4" t="s">
        <v>139</v>
      </c>
      <c r="H184" s="5" t="n">
        <v>0.50072</v>
      </c>
      <c r="I184" s="4" t="s">
        <v>161</v>
      </c>
      <c r="J184" s="4" t="s">
        <v>142</v>
      </c>
      <c r="K184" s="5" t="n">
        <v>0.2413</v>
      </c>
      <c r="L184" s="4" t="n">
        <f aca="false">IF(G184=$E184,1,0)</f>
        <v>0</v>
      </c>
      <c r="M184" s="4" t="n">
        <f aca="false">IF(OR(G184=$E184,I184=$E184,J184=$E184),1,0)</f>
        <v>1</v>
      </c>
      <c r="N184" s="4" t="n">
        <v>2</v>
      </c>
      <c r="O184" s="9" t="n">
        <f aca="false">-LN(MAX(K184,0.0001))</f>
        <v>1.42171430635115</v>
      </c>
      <c r="P184" s="4" t="s">
        <v>116</v>
      </c>
      <c r="Q184" s="5" t="n">
        <v>0.31318</v>
      </c>
      <c r="R184" s="4" t="s">
        <v>140</v>
      </c>
      <c r="S184" s="4" t="s">
        <v>139</v>
      </c>
      <c r="T184" s="5" t="n">
        <v>0.11534</v>
      </c>
      <c r="U184" s="4" t="n">
        <f aca="false">IF(P184=$E184,1,0)</f>
        <v>0</v>
      </c>
      <c r="V184" s="4" t="n">
        <f aca="false">IF(OR(P184=$E184,R184=$E184,S184=$E184),1,0)</f>
        <v>0</v>
      </c>
      <c r="W184" s="4" t="n">
        <v>1</v>
      </c>
      <c r="X184" s="9" t="n">
        <f aca="false">-LN(MAX(T184,0.0001))</f>
        <v>2.15987099079487</v>
      </c>
      <c r="Y184" s="4" t="s">
        <v>139</v>
      </c>
      <c r="Z184" s="5" t="n">
        <v>0.5274</v>
      </c>
      <c r="AA184" s="4" t="s">
        <v>161</v>
      </c>
      <c r="AB184" s="4" t="s">
        <v>142</v>
      </c>
      <c r="AC184" s="5" t="n">
        <v>0.20854</v>
      </c>
      <c r="AD184" s="4" t="n">
        <f aca="false">IF(Y184=$E184,1,0)</f>
        <v>0</v>
      </c>
      <c r="AE184" s="4" t="n">
        <f aca="false">IF(OR(Y184=$E184,AA184=$E184,AB184=$E184),1,0)</f>
        <v>1</v>
      </c>
      <c r="AF184" s="4" t="n">
        <v>2</v>
      </c>
      <c r="AG184" s="9" t="n">
        <f aca="false">-LN(MAX(AC184,0.0001))</f>
        <v>1.56762440962069</v>
      </c>
    </row>
    <row r="185" customFormat="false" ht="15" hidden="false" customHeight="false" outlineLevel="0" collapsed="false">
      <c r="A185" s="4" t="n">
        <v>2024</v>
      </c>
      <c r="B185" s="4" t="n">
        <v>18</v>
      </c>
      <c r="C185" s="4" t="s">
        <v>128</v>
      </c>
      <c r="D185" s="4" t="s">
        <v>163</v>
      </c>
      <c r="E185" s="4" t="s">
        <v>140</v>
      </c>
      <c r="F185" s="4" t="n">
        <v>1</v>
      </c>
      <c r="G185" s="4" t="s">
        <v>140</v>
      </c>
      <c r="H185" s="5" t="n">
        <v>0.4862</v>
      </c>
      <c r="I185" s="4" t="s">
        <v>161</v>
      </c>
      <c r="J185" s="4" t="s">
        <v>116</v>
      </c>
      <c r="K185" s="5" t="n">
        <v>0.4862</v>
      </c>
      <c r="L185" s="4" t="n">
        <f aca="false">IF(G185=$E185,1,0)</f>
        <v>1</v>
      </c>
      <c r="M185" s="4" t="n">
        <f aca="false">IF(OR(G185=$E185,I185=$E185,J185=$E185),1,0)</f>
        <v>1</v>
      </c>
      <c r="N185" s="4" t="n">
        <v>3</v>
      </c>
      <c r="O185" s="9" t="n">
        <f aca="false">-LN(MAX(K185,0.0001))</f>
        <v>0.721135217100114</v>
      </c>
      <c r="P185" s="4" t="s">
        <v>116</v>
      </c>
      <c r="Q185" s="5" t="n">
        <v>0.32478</v>
      </c>
      <c r="R185" s="4" t="s">
        <v>139</v>
      </c>
      <c r="S185" s="4" t="s">
        <v>140</v>
      </c>
      <c r="T185" s="5" t="n">
        <v>0.15728</v>
      </c>
      <c r="U185" s="4" t="n">
        <f aca="false">IF(P185=$E185,1,0)</f>
        <v>0</v>
      </c>
      <c r="V185" s="4" t="n">
        <f aca="false">IF(OR(P185=$E185,R185=$E185,S185=$E185),1,0)</f>
        <v>1</v>
      </c>
      <c r="W185" s="4" t="n">
        <v>2</v>
      </c>
      <c r="X185" s="9" t="n">
        <f aca="false">-LN(MAX(T185,0.0001))</f>
        <v>1.84972762258328</v>
      </c>
      <c r="Y185" s="4" t="s">
        <v>140</v>
      </c>
      <c r="Z185" s="5" t="n">
        <v>0.56772</v>
      </c>
      <c r="AA185" s="4" t="s">
        <v>116</v>
      </c>
      <c r="AB185" s="4" t="s">
        <v>107</v>
      </c>
      <c r="AC185" s="5" t="n">
        <v>0.56772</v>
      </c>
      <c r="AD185" s="4" t="n">
        <f aca="false">IF(Y185=$E185,1,0)</f>
        <v>1</v>
      </c>
      <c r="AE185" s="4" t="n">
        <f aca="false">IF(OR(Y185=$E185,AA185=$E185,AB185=$E185),1,0)</f>
        <v>1</v>
      </c>
      <c r="AF185" s="4" t="n">
        <v>2</v>
      </c>
      <c r="AG185" s="9" t="n">
        <f aca="false">-LN(MAX(AC185,0.0001))</f>
        <v>0.56612693955108</v>
      </c>
    </row>
    <row r="186" customFormat="false" ht="15" hidden="false" customHeight="false" outlineLevel="0" collapsed="false">
      <c r="A186" s="4" t="n">
        <v>2024</v>
      </c>
      <c r="B186" s="4" t="n">
        <v>19</v>
      </c>
      <c r="C186" s="4" t="s">
        <v>131</v>
      </c>
      <c r="D186" s="4" t="s">
        <v>163</v>
      </c>
      <c r="E186" s="4" t="s">
        <v>139</v>
      </c>
      <c r="F186" s="4" t="n">
        <v>4</v>
      </c>
      <c r="G186" s="4" t="s">
        <v>140</v>
      </c>
      <c r="H186" s="5" t="n">
        <v>0.4921</v>
      </c>
      <c r="I186" s="4" t="s">
        <v>116</v>
      </c>
      <c r="J186" s="4" t="s">
        <v>139</v>
      </c>
      <c r="K186" s="5" t="n">
        <v>0.06444</v>
      </c>
      <c r="L186" s="4" t="n">
        <f aca="false">IF(G186=$E186,1,0)</f>
        <v>0</v>
      </c>
      <c r="M186" s="4" t="n">
        <f aca="false">IF(OR(G186=$E186,I186=$E186,J186=$E186),1,0)</f>
        <v>1</v>
      </c>
      <c r="N186" s="4" t="n">
        <v>2</v>
      </c>
      <c r="O186" s="9" t="n">
        <f aca="false">-LN(MAX(K186,0.0001))</f>
        <v>2.74202072067336</v>
      </c>
      <c r="P186" s="4" t="s">
        <v>116</v>
      </c>
      <c r="Q186" s="5" t="n">
        <v>0.36114</v>
      </c>
      <c r="R186" s="4" t="s">
        <v>140</v>
      </c>
      <c r="S186" s="4" t="s">
        <v>139</v>
      </c>
      <c r="T186" s="5" t="n">
        <v>0.1392</v>
      </c>
      <c r="U186" s="4" t="n">
        <f aca="false">IF(P186=$E186,1,0)</f>
        <v>0</v>
      </c>
      <c r="V186" s="4" t="n">
        <f aca="false">IF(OR(P186=$E186,R186=$E186,S186=$E186),1,0)</f>
        <v>1</v>
      </c>
      <c r="W186" s="4" t="n">
        <v>1</v>
      </c>
      <c r="X186" s="9" t="n">
        <f aca="false">-LN(MAX(T186,0.0001))</f>
        <v>1.97184353108182</v>
      </c>
      <c r="Y186" s="4" t="s">
        <v>140</v>
      </c>
      <c r="Z186" s="5" t="n">
        <v>0.56176</v>
      </c>
      <c r="AA186" s="4" t="s">
        <v>116</v>
      </c>
      <c r="AB186" s="4" t="s">
        <v>142</v>
      </c>
      <c r="AC186" s="5" t="n">
        <v>0.04602</v>
      </c>
      <c r="AD186" s="4" t="n">
        <f aca="false">IF(Y186=$E186,1,0)</f>
        <v>0</v>
      </c>
      <c r="AE186" s="4" t="n">
        <f aca="false">IF(OR(Y186=$E186,AA186=$E186,AB186=$E186),1,0)</f>
        <v>0</v>
      </c>
      <c r="AF186" s="4" t="n">
        <v>2</v>
      </c>
      <c r="AG186" s="9" t="n">
        <f aca="false">-LN(MAX(AC186,0.0001))</f>
        <v>3.07867919437492</v>
      </c>
    </row>
    <row r="187" customFormat="false" ht="15" hidden="false" customHeight="false" outlineLevel="0" collapsed="false">
      <c r="A187" s="4" t="n">
        <v>2024</v>
      </c>
      <c r="B187" s="4" t="n">
        <v>20</v>
      </c>
      <c r="C187" s="4" t="s">
        <v>155</v>
      </c>
      <c r="D187" s="4" t="s">
        <v>163</v>
      </c>
      <c r="E187" s="4" t="s">
        <v>142</v>
      </c>
      <c r="F187" s="4" t="n">
        <v>1</v>
      </c>
      <c r="G187" s="4" t="s">
        <v>142</v>
      </c>
      <c r="H187" s="5" t="n">
        <v>0.3455</v>
      </c>
      <c r="I187" s="4" t="s">
        <v>116</v>
      </c>
      <c r="J187" s="4" t="s">
        <v>140</v>
      </c>
      <c r="K187" s="5" t="n">
        <v>0.3455</v>
      </c>
      <c r="L187" s="4" t="n">
        <f aca="false">IF(G187=$E187,1,0)</f>
        <v>1</v>
      </c>
      <c r="M187" s="4" t="n">
        <f aca="false">IF(OR(G187=$E187,I187=$E187,J187=$E187),1,0)</f>
        <v>1</v>
      </c>
      <c r="N187" s="4" t="n">
        <v>2</v>
      </c>
      <c r="O187" s="9" t="n">
        <f aca="false">-LN(MAX(K187,0.0001))</f>
        <v>1.06276263577441</v>
      </c>
      <c r="P187" s="4" t="s">
        <v>116</v>
      </c>
      <c r="Q187" s="5" t="n">
        <v>0.3625</v>
      </c>
      <c r="R187" s="4" t="s">
        <v>139</v>
      </c>
      <c r="S187" s="4" t="s">
        <v>140</v>
      </c>
      <c r="T187" s="5" t="n">
        <v>0.05954</v>
      </c>
      <c r="U187" s="4" t="n">
        <f aca="false">IF(P187=$E187,1,0)</f>
        <v>0</v>
      </c>
      <c r="V187" s="4" t="n">
        <f aca="false">IF(OR(P187=$E187,R187=$E187,S187=$E187),1,0)</f>
        <v>0</v>
      </c>
      <c r="W187" s="4" t="n">
        <v>2</v>
      </c>
      <c r="X187" s="9" t="n">
        <f aca="false">-LN(MAX(T187,0.0001))</f>
        <v>2.82110692339451</v>
      </c>
      <c r="Y187" s="4" t="s">
        <v>142</v>
      </c>
      <c r="Z187" s="5" t="n">
        <v>0.53334</v>
      </c>
      <c r="AA187" s="4" t="s">
        <v>116</v>
      </c>
      <c r="AB187" s="4" t="s">
        <v>140</v>
      </c>
      <c r="AC187" s="5" t="n">
        <v>0.53334</v>
      </c>
      <c r="AD187" s="4" t="n">
        <f aca="false">IF(Y187=$E187,1,0)</f>
        <v>1</v>
      </c>
      <c r="AE187" s="4" t="n">
        <f aca="false">IF(OR(Y187=$E187,AA187=$E187,AB187=$E187),1,0)</f>
        <v>1</v>
      </c>
      <c r="AF187" s="4" t="n">
        <v>2</v>
      </c>
      <c r="AG187" s="9" t="n">
        <f aca="false">-LN(MAX(AC187,0.0001))</f>
        <v>0.628596159500498</v>
      </c>
    </row>
    <row r="188" customFormat="false" ht="15" hidden="false" customHeight="false" outlineLevel="0" collapsed="false">
      <c r="A188" s="4" t="n">
        <v>2024</v>
      </c>
      <c r="B188" s="4" t="n">
        <v>21</v>
      </c>
      <c r="C188" s="4" t="s">
        <v>156</v>
      </c>
      <c r="D188" s="4" t="s">
        <v>163</v>
      </c>
      <c r="E188" s="4" t="s">
        <v>116</v>
      </c>
      <c r="F188" s="4" t="n">
        <v>17</v>
      </c>
      <c r="G188" s="4" t="s">
        <v>140</v>
      </c>
      <c r="H188" s="5" t="n">
        <v>0.82346</v>
      </c>
      <c r="I188" s="4" t="s">
        <v>152</v>
      </c>
      <c r="J188" s="4" t="s">
        <v>139</v>
      </c>
      <c r="K188" s="5" t="n">
        <v>0.00044</v>
      </c>
      <c r="L188" s="4" t="n">
        <f aca="false">IF(G188=$E188,1,0)</f>
        <v>0</v>
      </c>
      <c r="M188" s="4" t="n">
        <f aca="false">IF(OR(G188=$E188,I188=$E188,J188=$E188),1,0)</f>
        <v>0</v>
      </c>
      <c r="N188" s="4" t="n">
        <v>0</v>
      </c>
      <c r="O188" s="9" t="n">
        <f aca="false">-LN(MAX(K188,0.0001))</f>
        <v>7.72873583105197</v>
      </c>
      <c r="P188" s="4" t="s">
        <v>116</v>
      </c>
      <c r="Q188" s="5" t="n">
        <v>0.30656</v>
      </c>
      <c r="R188" s="4" t="s">
        <v>139</v>
      </c>
      <c r="S188" s="4" t="s">
        <v>140</v>
      </c>
      <c r="T188" s="5" t="n">
        <v>0.30656</v>
      </c>
      <c r="U188" s="4" t="n">
        <f aca="false">IF(P188=$E188,1,0)</f>
        <v>1</v>
      </c>
      <c r="V188" s="4" t="n">
        <f aca="false">IF(OR(P188=$E188,R188=$E188,S188=$E188),1,0)</f>
        <v>1</v>
      </c>
      <c r="W188" s="4" t="n">
        <v>1</v>
      </c>
      <c r="X188" s="9" t="n">
        <f aca="false">-LN(MAX(T188,0.0001))</f>
        <v>1.18234178419964</v>
      </c>
      <c r="Y188" s="4" t="s">
        <v>140</v>
      </c>
      <c r="Z188" s="5" t="n">
        <v>0.56568</v>
      </c>
      <c r="AA188" s="4" t="s">
        <v>152</v>
      </c>
      <c r="AB188" s="4" t="s">
        <v>164</v>
      </c>
      <c r="AC188" s="5" t="n">
        <v>0.00224</v>
      </c>
      <c r="AD188" s="4" t="n">
        <f aca="false">IF(Y188=$E188,1,0)</f>
        <v>0</v>
      </c>
      <c r="AE188" s="4" t="n">
        <f aca="false">IF(OR(Y188=$E188,AA188=$E188,AB188=$E188),1,0)</f>
        <v>0</v>
      </c>
      <c r="AF188" s="4" t="n">
        <v>0</v>
      </c>
      <c r="AG188" s="9" t="n">
        <f aca="false">-LN(MAX(AC188,0.0001))</f>
        <v>6.10127941311519</v>
      </c>
    </row>
    <row r="189" customFormat="false" ht="15" hidden="false" customHeight="false" outlineLevel="0" collapsed="false">
      <c r="A189" s="4" t="n">
        <v>2024</v>
      </c>
      <c r="B189" s="4" t="n">
        <v>22</v>
      </c>
      <c r="C189" s="4" t="s">
        <v>162</v>
      </c>
      <c r="D189" s="4" t="s">
        <v>163</v>
      </c>
      <c r="E189" s="4" t="s">
        <v>152</v>
      </c>
      <c r="F189" s="4" t="n">
        <v>1</v>
      </c>
      <c r="G189" s="4" t="s">
        <v>152</v>
      </c>
      <c r="H189" s="5" t="n">
        <v>0.388</v>
      </c>
      <c r="I189" s="4" t="s">
        <v>140</v>
      </c>
      <c r="J189" s="4" t="s">
        <v>142</v>
      </c>
      <c r="K189" s="5" t="n">
        <v>0.388</v>
      </c>
      <c r="L189" s="4" t="n">
        <f aca="false">IF(G189=$E189,1,0)</f>
        <v>1</v>
      </c>
      <c r="M189" s="4" t="n">
        <f aca="false">IF(OR(G189=$E189,I189=$E189,J189=$E189),1,0)</f>
        <v>1</v>
      </c>
      <c r="N189" s="4" t="n">
        <v>1</v>
      </c>
      <c r="O189" s="9" t="n">
        <f aca="false">-LN(MAX(K189,0.0001))</f>
        <v>0.946749939358864</v>
      </c>
      <c r="P189" s="4" t="s">
        <v>116</v>
      </c>
      <c r="Q189" s="5" t="n">
        <v>0.3202</v>
      </c>
      <c r="R189" s="4" t="s">
        <v>140</v>
      </c>
      <c r="S189" s="4" t="s">
        <v>139</v>
      </c>
      <c r="T189" s="5" t="n">
        <v>0.04964</v>
      </c>
      <c r="U189" s="4" t="n">
        <f aca="false">IF(P189=$E189,1,0)</f>
        <v>0</v>
      </c>
      <c r="V189" s="4" t="n">
        <f aca="false">IF(OR(P189=$E189,R189=$E189,S189=$E189),1,0)</f>
        <v>0</v>
      </c>
      <c r="W189" s="4" t="n">
        <v>0</v>
      </c>
      <c r="X189" s="9" t="n">
        <f aca="false">-LN(MAX(T189,0.0001))</f>
        <v>3.00295831864573</v>
      </c>
      <c r="Y189" s="4" t="s">
        <v>152</v>
      </c>
      <c r="Z189" s="5" t="n">
        <v>0.51738</v>
      </c>
      <c r="AA189" s="4" t="s">
        <v>142</v>
      </c>
      <c r="AB189" s="4" t="s">
        <v>145</v>
      </c>
      <c r="AC189" s="5" t="n">
        <v>0.51738</v>
      </c>
      <c r="AD189" s="4" t="n">
        <f aca="false">IF(Y189=$E189,1,0)</f>
        <v>1</v>
      </c>
      <c r="AE189" s="4" t="n">
        <f aca="false">IF(OR(Y189=$E189,AA189=$E189,AB189=$E189),1,0)</f>
        <v>1</v>
      </c>
      <c r="AF189" s="4" t="n">
        <v>2</v>
      </c>
      <c r="AG189" s="9" t="n">
        <f aca="false">-LN(MAX(AC189,0.0001))</f>
        <v>0.658977664789849</v>
      </c>
    </row>
    <row r="190" customFormat="false" ht="15" hidden="false" customHeight="false" outlineLevel="0" collapsed="false">
      <c r="A190" s="4" t="n">
        <v>2024</v>
      </c>
      <c r="B190" s="4" t="n">
        <v>23</v>
      </c>
      <c r="C190" s="4" t="s">
        <v>157</v>
      </c>
      <c r="D190" s="4" t="s">
        <v>163</v>
      </c>
      <c r="E190" s="4" t="s">
        <v>116</v>
      </c>
      <c r="F190" s="4" t="n">
        <v>2</v>
      </c>
      <c r="G190" s="4" t="s">
        <v>152</v>
      </c>
      <c r="H190" s="5" t="n">
        <v>0.4602</v>
      </c>
      <c r="I190" s="4" t="s">
        <v>140</v>
      </c>
      <c r="J190" s="4" t="s">
        <v>161</v>
      </c>
      <c r="K190" s="5" t="n">
        <v>0.07972</v>
      </c>
      <c r="L190" s="4" t="n">
        <f aca="false">IF(G190=$E190,1,0)</f>
        <v>0</v>
      </c>
      <c r="M190" s="4" t="n">
        <f aca="false">IF(OR(G190=$E190,I190=$E190,J190=$E190),1,0)</f>
        <v>0</v>
      </c>
      <c r="N190" s="4" t="n">
        <v>1</v>
      </c>
      <c r="O190" s="9" t="n">
        <f aca="false">-LN(MAX(K190,0.0001))</f>
        <v>2.52923478363754</v>
      </c>
      <c r="P190" s="4" t="s">
        <v>116</v>
      </c>
      <c r="Q190" s="5" t="n">
        <v>0.30572</v>
      </c>
      <c r="R190" s="4" t="s">
        <v>140</v>
      </c>
      <c r="S190" s="4" t="s">
        <v>139</v>
      </c>
      <c r="T190" s="5" t="n">
        <v>0.30572</v>
      </c>
      <c r="U190" s="4" t="n">
        <f aca="false">IF(P190=$E190,1,0)</f>
        <v>1</v>
      </c>
      <c r="V190" s="4" t="n">
        <f aca="false">IF(OR(P190=$E190,R190=$E190,S190=$E190),1,0)</f>
        <v>1</v>
      </c>
      <c r="W190" s="4" t="n">
        <v>2</v>
      </c>
      <c r="X190" s="9" t="n">
        <f aca="false">-LN(MAX(T190,0.0001))</f>
        <v>1.18508562860745</v>
      </c>
      <c r="Y190" s="4" t="s">
        <v>152</v>
      </c>
      <c r="Z190" s="5" t="n">
        <v>0.51086</v>
      </c>
      <c r="AA190" s="4" t="s">
        <v>116</v>
      </c>
      <c r="AB190" s="4" t="s">
        <v>140</v>
      </c>
      <c r="AC190" s="5" t="n">
        <v>0.20116</v>
      </c>
      <c r="AD190" s="4" t="n">
        <f aca="false">IF(Y190=$E190,1,0)</f>
        <v>0</v>
      </c>
      <c r="AE190" s="4" t="n">
        <f aca="false">IF(OR(Y190=$E190,AA190=$E190,AB190=$E190),1,0)</f>
        <v>1</v>
      </c>
      <c r="AF190" s="4" t="n">
        <v>1</v>
      </c>
      <c r="AG190" s="9" t="n">
        <f aca="false">-LN(MAX(AC190,0.0001))</f>
        <v>1.60365466767837</v>
      </c>
    </row>
    <row r="191" customFormat="false" ht="15" hidden="false" customHeight="false" outlineLevel="0" collapsed="false">
      <c r="A191" s="4" t="n">
        <v>2024</v>
      </c>
      <c r="B191" s="4" t="n">
        <v>24</v>
      </c>
      <c r="C191" s="4" t="s">
        <v>134</v>
      </c>
      <c r="D191" s="4" t="s">
        <v>163</v>
      </c>
      <c r="E191" s="4" t="s">
        <v>140</v>
      </c>
      <c r="F191" s="4" t="n">
        <v>1</v>
      </c>
      <c r="G191" s="4" t="s">
        <v>140</v>
      </c>
      <c r="H191" s="5" t="n">
        <v>0.36512</v>
      </c>
      <c r="I191" s="4" t="s">
        <v>161</v>
      </c>
      <c r="J191" s="4" t="s">
        <v>116</v>
      </c>
      <c r="K191" s="5" t="n">
        <v>0.36512</v>
      </c>
      <c r="L191" s="4" t="n">
        <f aca="false">IF(G191=$E191,1,0)</f>
        <v>1</v>
      </c>
      <c r="M191" s="4" t="n">
        <f aca="false">IF(OR(G191=$E191,I191=$E191,J191=$E191),1,0)</f>
        <v>1</v>
      </c>
      <c r="N191" s="4" t="n">
        <v>1</v>
      </c>
      <c r="O191" s="9" t="n">
        <f aca="false">-LN(MAX(K191,0.0001))</f>
        <v>1.00752921230843</v>
      </c>
      <c r="P191" s="4" t="s">
        <v>116</v>
      </c>
      <c r="Q191" s="5" t="n">
        <v>0.41466</v>
      </c>
      <c r="R191" s="4" t="s">
        <v>139</v>
      </c>
      <c r="S191" s="4" t="s">
        <v>140</v>
      </c>
      <c r="T191" s="5" t="n">
        <v>0.0994</v>
      </c>
      <c r="U191" s="4" t="n">
        <f aca="false">IF(P191=$E191,1,0)</f>
        <v>0</v>
      </c>
      <c r="V191" s="4" t="n">
        <f aca="false">IF(OR(P191=$E191,R191=$E191,S191=$E191),1,0)</f>
        <v>1</v>
      </c>
      <c r="W191" s="4" t="n">
        <v>2</v>
      </c>
      <c r="X191" s="9" t="n">
        <f aca="false">-LN(MAX(T191,0.0001))</f>
        <v>2.30860316531961</v>
      </c>
      <c r="Y191" s="4" t="s">
        <v>140</v>
      </c>
      <c r="Z191" s="5" t="n">
        <v>0.55344</v>
      </c>
      <c r="AA191" s="4" t="s">
        <v>161</v>
      </c>
      <c r="AB191" s="4" t="s">
        <v>142</v>
      </c>
      <c r="AC191" s="5" t="n">
        <v>0.55344</v>
      </c>
      <c r="AD191" s="4" t="n">
        <f aca="false">IF(Y191=$E191,1,0)</f>
        <v>1</v>
      </c>
      <c r="AE191" s="4" t="n">
        <f aca="false">IF(OR(Y191=$E191,AA191=$E191,AB191=$E191),1,0)</f>
        <v>1</v>
      </c>
      <c r="AF191" s="4" t="n">
        <v>2</v>
      </c>
      <c r="AG191" s="9" t="n">
        <f aca="false">-LN(MAX(AC191,0.0001))</f>
        <v>0.591601933793278</v>
      </c>
    </row>
    <row r="192" customFormat="false" ht="15" hidden="false" customHeight="false" outlineLevel="0" collapsed="false">
      <c r="A192" s="4" t="n">
        <v>2025</v>
      </c>
      <c r="B192" s="4" t="n">
        <v>1</v>
      </c>
      <c r="C192" s="4" t="s">
        <v>104</v>
      </c>
      <c r="D192" s="4" t="s">
        <v>163</v>
      </c>
      <c r="E192" s="4" t="s">
        <v>140</v>
      </c>
      <c r="F192" s="4" t="n">
        <v>1</v>
      </c>
      <c r="G192" s="4" t="s">
        <v>140</v>
      </c>
      <c r="H192" s="5" t="n">
        <v>0.40614</v>
      </c>
      <c r="I192" s="4" t="s">
        <v>161</v>
      </c>
      <c r="J192" s="4" t="s">
        <v>116</v>
      </c>
      <c r="K192" s="5" t="n">
        <v>0.40614</v>
      </c>
      <c r="L192" s="4" t="n">
        <f aca="false">IF(G192=$E192,1,0)</f>
        <v>1</v>
      </c>
      <c r="M192" s="4" t="n">
        <f aca="false">IF(OR(G192=$E192,I192=$E192,J192=$E192),1,0)</f>
        <v>1</v>
      </c>
      <c r="N192" s="4" t="n">
        <v>2</v>
      </c>
      <c r="O192" s="9" t="n">
        <f aca="false">-LN(MAX(K192,0.0001))</f>
        <v>0.901057351233566</v>
      </c>
      <c r="P192" s="4" t="s">
        <v>116</v>
      </c>
      <c r="Q192" s="5" t="n">
        <v>0.28992</v>
      </c>
      <c r="R192" s="4" t="s">
        <v>139</v>
      </c>
      <c r="S192" s="4" t="s">
        <v>140</v>
      </c>
      <c r="T192" s="5" t="n">
        <v>0.13524</v>
      </c>
      <c r="U192" s="4" t="n">
        <f aca="false">IF(P192=$E192,1,0)</f>
        <v>0</v>
      </c>
      <c r="V192" s="4" t="n">
        <f aca="false">IF(OR(P192=$E192,R192=$E192,S192=$E192),1,0)</f>
        <v>1</v>
      </c>
      <c r="W192" s="4" t="n">
        <v>2</v>
      </c>
      <c r="X192" s="9" t="n">
        <f aca="false">-LN(MAX(T192,0.0001))</f>
        <v>2.00070430114245</v>
      </c>
      <c r="Y192" s="4" t="s">
        <v>140</v>
      </c>
      <c r="Z192" s="5" t="n">
        <v>0.55856</v>
      </c>
      <c r="AA192" s="4" t="s">
        <v>161</v>
      </c>
      <c r="AB192" s="4" t="s">
        <v>116</v>
      </c>
      <c r="AC192" s="5" t="n">
        <v>0.55856</v>
      </c>
      <c r="AD192" s="4" t="n">
        <f aca="false">IF(Y192=$E192,1,0)</f>
        <v>1</v>
      </c>
      <c r="AE192" s="4" t="n">
        <f aca="false">IF(OR(Y192=$E192,AA192=$E192,AB192=$E192),1,0)</f>
        <v>1</v>
      </c>
      <c r="AF192" s="4" t="n">
        <v>2</v>
      </c>
      <c r="AG192" s="9" t="n">
        <f aca="false">-LN(MAX(AC192,0.0001))</f>
        <v>0.582393235625411</v>
      </c>
    </row>
    <row r="193" customFormat="false" ht="15" hidden="false" customHeight="false" outlineLevel="0" collapsed="false">
      <c r="A193" s="4" t="n">
        <v>2025</v>
      </c>
      <c r="B193" s="4" t="n">
        <v>2</v>
      </c>
      <c r="C193" s="4" t="s">
        <v>110</v>
      </c>
      <c r="D193" s="4" t="s">
        <v>163</v>
      </c>
      <c r="E193" s="4" t="s">
        <v>161</v>
      </c>
      <c r="F193" s="4" t="n">
        <v>1</v>
      </c>
      <c r="G193" s="4" t="s">
        <v>161</v>
      </c>
      <c r="H193" s="5" t="n">
        <v>0.3291</v>
      </c>
      <c r="I193" s="4" t="s">
        <v>152</v>
      </c>
      <c r="J193" s="4" t="s">
        <v>140</v>
      </c>
      <c r="K193" s="5" t="n">
        <v>0.3291</v>
      </c>
      <c r="L193" s="4" t="n">
        <f aca="false">IF(G193=$E193,1,0)</f>
        <v>1</v>
      </c>
      <c r="M193" s="4" t="n">
        <f aca="false">IF(OR(G193=$E193,I193=$E193,J193=$E193),1,0)</f>
        <v>1</v>
      </c>
      <c r="N193" s="4" t="n">
        <v>3</v>
      </c>
      <c r="O193" s="9" t="n">
        <f aca="false">-LN(MAX(K193,0.0001))</f>
        <v>1.11139362303284</v>
      </c>
      <c r="P193" s="4" t="s">
        <v>116</v>
      </c>
      <c r="Q193" s="5" t="n">
        <v>0.32878</v>
      </c>
      <c r="R193" s="4" t="s">
        <v>140</v>
      </c>
      <c r="S193" s="4" t="s">
        <v>139</v>
      </c>
      <c r="T193" s="5" t="n">
        <v>0.06952</v>
      </c>
      <c r="U193" s="4" t="n">
        <f aca="false">IF(P193=$E193,1,0)</f>
        <v>0</v>
      </c>
      <c r="V193" s="4" t="n">
        <f aca="false">IF(OR(P193=$E193,R193=$E193,S193=$E193),1,0)</f>
        <v>0</v>
      </c>
      <c r="W193" s="4" t="n">
        <v>1</v>
      </c>
      <c r="X193" s="9" t="n">
        <f aca="false">-LN(MAX(T193,0.0001))</f>
        <v>2.666140798025</v>
      </c>
      <c r="Y193" s="4" t="s">
        <v>161</v>
      </c>
      <c r="Z193" s="5" t="n">
        <v>0.56136</v>
      </c>
      <c r="AA193" s="4" t="s">
        <v>152</v>
      </c>
      <c r="AB193" s="4" t="s">
        <v>140</v>
      </c>
      <c r="AC193" s="5" t="n">
        <v>0.56136</v>
      </c>
      <c r="AD193" s="4" t="n">
        <f aca="false">IF(Y193=$E193,1,0)</f>
        <v>1</v>
      </c>
      <c r="AE193" s="4" t="n">
        <f aca="false">IF(OR(Y193=$E193,AA193=$E193,AB193=$E193),1,0)</f>
        <v>1</v>
      </c>
      <c r="AF193" s="4" t="n">
        <v>3</v>
      </c>
      <c r="AG193" s="9" t="n">
        <f aca="false">-LN(MAX(AC193,0.0001))</f>
        <v>0.577392868038104</v>
      </c>
    </row>
    <row r="194" customFormat="false" ht="15" hidden="false" customHeight="false" outlineLevel="0" collapsed="false">
      <c r="A194" s="4" t="n">
        <v>2025</v>
      </c>
      <c r="B194" s="4" t="n">
        <v>3</v>
      </c>
      <c r="C194" s="4" t="s">
        <v>130</v>
      </c>
      <c r="D194" s="4" t="s">
        <v>163</v>
      </c>
      <c r="E194" s="4" t="s">
        <v>116</v>
      </c>
      <c r="F194" s="4" t="n">
        <v>1</v>
      </c>
      <c r="G194" s="4" t="s">
        <v>116</v>
      </c>
      <c r="H194" s="5" t="n">
        <v>0.38434</v>
      </c>
      <c r="I194" s="4" t="s">
        <v>140</v>
      </c>
      <c r="J194" s="4" t="s">
        <v>161</v>
      </c>
      <c r="K194" s="5" t="n">
        <v>0.38434</v>
      </c>
      <c r="L194" s="4" t="n">
        <f aca="false">IF(G194=$E194,1,0)</f>
        <v>1</v>
      </c>
      <c r="M194" s="4" t="n">
        <f aca="false">IF(OR(G194=$E194,I194=$E194,J194=$E194),1,0)</f>
        <v>1</v>
      </c>
      <c r="N194" s="4" t="n">
        <v>3</v>
      </c>
      <c r="O194" s="9" t="n">
        <f aca="false">-LN(MAX(K194,0.0001))</f>
        <v>0.956227701477856</v>
      </c>
      <c r="P194" s="4" t="s">
        <v>116</v>
      </c>
      <c r="Q194" s="5" t="n">
        <v>0.29862</v>
      </c>
      <c r="R194" s="4" t="s">
        <v>140</v>
      </c>
      <c r="S194" s="4" t="s">
        <v>152</v>
      </c>
      <c r="T194" s="5" t="n">
        <v>0.29862</v>
      </c>
      <c r="U194" s="4" t="n">
        <f aca="false">IF(P194=$E194,1,0)</f>
        <v>1</v>
      </c>
      <c r="V194" s="4" t="n">
        <f aca="false">IF(OR(P194=$E194,R194=$E194,S194=$E194),1,0)</f>
        <v>1</v>
      </c>
      <c r="W194" s="4" t="n">
        <v>3</v>
      </c>
      <c r="X194" s="9" t="n">
        <f aca="false">-LN(MAX(T194,0.0001))</f>
        <v>1.20858341688362</v>
      </c>
      <c r="Y194" s="4" t="s">
        <v>116</v>
      </c>
      <c r="Z194" s="5" t="n">
        <v>0.50918</v>
      </c>
      <c r="AA194" s="4" t="s">
        <v>140</v>
      </c>
      <c r="AB194" s="4" t="s">
        <v>161</v>
      </c>
      <c r="AC194" s="5" t="n">
        <v>0.50918</v>
      </c>
      <c r="AD194" s="4" t="n">
        <f aca="false">IF(Y194=$E194,1,0)</f>
        <v>1</v>
      </c>
      <c r="AE194" s="4" t="n">
        <f aca="false">IF(OR(Y194=$E194,AA194=$E194,AB194=$E194),1,0)</f>
        <v>1</v>
      </c>
      <c r="AF194" s="4" t="n">
        <v>3</v>
      </c>
      <c r="AG194" s="9" t="n">
        <f aca="false">-LN(MAX(AC194,0.0001))</f>
        <v>0.674953690367981</v>
      </c>
    </row>
    <row r="195" customFormat="false" ht="15" hidden="false" customHeight="false" outlineLevel="0" collapsed="false">
      <c r="A195" s="4" t="n">
        <v>2025</v>
      </c>
      <c r="B195" s="4" t="n">
        <v>4</v>
      </c>
      <c r="C195" s="4" t="s">
        <v>109</v>
      </c>
      <c r="D195" s="4" t="s">
        <v>163</v>
      </c>
      <c r="E195" s="4" t="s">
        <v>161</v>
      </c>
      <c r="F195" s="4" t="n">
        <v>1</v>
      </c>
      <c r="G195" s="4" t="s">
        <v>161</v>
      </c>
      <c r="H195" s="5" t="n">
        <v>0.50938</v>
      </c>
      <c r="I195" s="4" t="s">
        <v>152</v>
      </c>
      <c r="J195" s="4" t="s">
        <v>139</v>
      </c>
      <c r="K195" s="5" t="n">
        <v>0.50938</v>
      </c>
      <c r="L195" s="4" t="n">
        <f aca="false">IF(G195=$E195,1,0)</f>
        <v>1</v>
      </c>
      <c r="M195" s="4" t="n">
        <f aca="false">IF(OR(G195=$E195,I195=$E195,J195=$E195),1,0)</f>
        <v>1</v>
      </c>
      <c r="N195" s="4" t="n">
        <v>2</v>
      </c>
      <c r="O195" s="9" t="n">
        <f aca="false">-LN(MAX(K195,0.0001))</f>
        <v>0.674560979084266</v>
      </c>
      <c r="P195" s="4" t="s">
        <v>116</v>
      </c>
      <c r="Q195" s="5" t="n">
        <v>0.35496</v>
      </c>
      <c r="R195" s="4" t="s">
        <v>140</v>
      </c>
      <c r="S195" s="4" t="s">
        <v>161</v>
      </c>
      <c r="T195" s="5" t="n">
        <v>0.10994</v>
      </c>
      <c r="U195" s="4" t="n">
        <f aca="false">IF(P195=$E195,1,0)</f>
        <v>0</v>
      </c>
      <c r="V195" s="4" t="n">
        <f aca="false">IF(OR(P195=$E195,R195=$E195,S195=$E195),1,0)</f>
        <v>1</v>
      </c>
      <c r="W195" s="4" t="n">
        <v>2</v>
      </c>
      <c r="X195" s="9" t="n">
        <f aca="false">-LN(MAX(T195,0.0001))</f>
        <v>2.20782051654962</v>
      </c>
      <c r="Y195" s="4" t="s">
        <v>161</v>
      </c>
      <c r="Z195" s="5" t="n">
        <v>0.5709</v>
      </c>
      <c r="AA195" s="4" t="s">
        <v>139</v>
      </c>
      <c r="AB195" s="4" t="s">
        <v>152</v>
      </c>
      <c r="AC195" s="5" t="n">
        <v>0.5709</v>
      </c>
      <c r="AD195" s="4" t="n">
        <f aca="false">IF(Y195=$E195,1,0)</f>
        <v>1</v>
      </c>
      <c r="AE195" s="4" t="n">
        <f aca="false">IF(OR(Y195=$E195,AA195=$E195,AB195=$E195),1,0)</f>
        <v>1</v>
      </c>
      <c r="AF195" s="4" t="n">
        <v>2</v>
      </c>
      <c r="AG195" s="9" t="n">
        <f aca="false">-LN(MAX(AC195,0.0001))</f>
        <v>0.560541216011924</v>
      </c>
    </row>
    <row r="196" customFormat="false" ht="15" hidden="false" customHeight="false" outlineLevel="0" collapsed="false">
      <c r="A196" s="4" t="n">
        <v>2025</v>
      </c>
      <c r="B196" s="4" t="n">
        <v>5</v>
      </c>
      <c r="C196" s="4" t="s">
        <v>159</v>
      </c>
      <c r="D196" s="4" t="s">
        <v>163</v>
      </c>
      <c r="E196" s="4" t="s">
        <v>161</v>
      </c>
      <c r="F196" s="4" t="n">
        <v>2</v>
      </c>
      <c r="G196" s="4" t="s">
        <v>116</v>
      </c>
      <c r="H196" s="5" t="n">
        <v>0.3525</v>
      </c>
      <c r="I196" s="4" t="s">
        <v>161</v>
      </c>
      <c r="J196" s="4" t="s">
        <v>152</v>
      </c>
      <c r="K196" s="5" t="n">
        <v>0.3006</v>
      </c>
      <c r="L196" s="4" t="n">
        <f aca="false">IF(G196=$E196,1,0)</f>
        <v>0</v>
      </c>
      <c r="M196" s="4" t="n">
        <f aca="false">IF(OR(G196=$E196,I196=$E196,J196=$E196),1,0)</f>
        <v>1</v>
      </c>
      <c r="N196" s="4" t="n">
        <v>2</v>
      </c>
      <c r="O196" s="9" t="n">
        <f aca="false">-LN(MAX(K196,0.0001))</f>
        <v>1.20197480166326</v>
      </c>
      <c r="P196" s="4" t="s">
        <v>116</v>
      </c>
      <c r="Q196" s="5" t="n">
        <v>0.25762</v>
      </c>
      <c r="R196" s="4" t="s">
        <v>140</v>
      </c>
      <c r="S196" s="4" t="s">
        <v>161</v>
      </c>
      <c r="T196" s="5" t="n">
        <v>0.15302</v>
      </c>
      <c r="U196" s="4" t="n">
        <f aca="false">IF(P196=$E196,1,0)</f>
        <v>0</v>
      </c>
      <c r="V196" s="4" t="n">
        <f aca="false">IF(OR(P196=$E196,R196=$E196,S196=$E196),1,0)</f>
        <v>1</v>
      </c>
      <c r="W196" s="4" t="n">
        <v>2</v>
      </c>
      <c r="X196" s="9" t="n">
        <f aca="false">-LN(MAX(T196,0.0001))</f>
        <v>1.87718664717843</v>
      </c>
      <c r="Y196" s="4" t="s">
        <v>116</v>
      </c>
      <c r="Z196" s="5" t="n">
        <v>0.5136</v>
      </c>
      <c r="AA196" s="4" t="s">
        <v>161</v>
      </c>
      <c r="AB196" s="4" t="s">
        <v>152</v>
      </c>
      <c r="AC196" s="5" t="n">
        <v>0.2183</v>
      </c>
      <c r="AD196" s="4" t="n">
        <f aca="false">IF(Y196=$E196,1,0)</f>
        <v>0</v>
      </c>
      <c r="AE196" s="4" t="n">
        <f aca="false">IF(OR(Y196=$E196,AA196=$E196,AB196=$E196),1,0)</f>
        <v>1</v>
      </c>
      <c r="AF196" s="4" t="n">
        <v>2</v>
      </c>
      <c r="AG196" s="9" t="n">
        <f aca="false">-LN(MAX(AC196,0.0001))</f>
        <v>1.52188501542624</v>
      </c>
    </row>
    <row r="197" customFormat="false" ht="15" hidden="false" customHeight="false" outlineLevel="0" collapsed="false">
      <c r="A197" s="4" t="n">
        <v>2025</v>
      </c>
      <c r="B197" s="4" t="n">
        <v>6</v>
      </c>
      <c r="C197" s="4" t="s">
        <v>160</v>
      </c>
      <c r="D197" s="4" t="s">
        <v>163</v>
      </c>
      <c r="E197" s="4" t="s">
        <v>161</v>
      </c>
      <c r="F197" s="4" t="n">
        <v>4</v>
      </c>
      <c r="G197" s="4" t="s">
        <v>140</v>
      </c>
      <c r="H197" s="5" t="n">
        <v>0.53414</v>
      </c>
      <c r="I197" s="4" t="s">
        <v>161</v>
      </c>
      <c r="J197" s="4" t="s">
        <v>116</v>
      </c>
      <c r="K197" s="5" t="n">
        <v>0.22372</v>
      </c>
      <c r="L197" s="4" t="n">
        <f aca="false">IF(G197=$E197,1,0)</f>
        <v>0</v>
      </c>
      <c r="M197" s="4" t="n">
        <f aca="false">IF(OR(G197=$E197,I197=$E197,J197=$E197),1,0)</f>
        <v>1</v>
      </c>
      <c r="N197" s="4" t="n">
        <v>2</v>
      </c>
      <c r="O197" s="9" t="n">
        <f aca="false">-LN(MAX(K197,0.0001))</f>
        <v>1.49736000902875</v>
      </c>
      <c r="P197" s="4" t="s">
        <v>116</v>
      </c>
      <c r="Q197" s="5" t="n">
        <v>0.30204</v>
      </c>
      <c r="R197" s="4" t="s">
        <v>140</v>
      </c>
      <c r="S197" s="4" t="s">
        <v>161</v>
      </c>
      <c r="T197" s="5" t="n">
        <v>0.17134</v>
      </c>
      <c r="U197" s="4" t="n">
        <f aca="false">IF(P197=$E197,1,0)</f>
        <v>0</v>
      </c>
      <c r="V197" s="4" t="n">
        <f aca="false">IF(OR(P197=$E197,R197=$E197,S197=$E197),1,0)</f>
        <v>1</v>
      </c>
      <c r="W197" s="4" t="n">
        <v>2</v>
      </c>
      <c r="X197" s="9" t="n">
        <f aca="false">-LN(MAX(T197,0.0001))</f>
        <v>1.76410539244624</v>
      </c>
      <c r="Y197" s="4" t="s">
        <v>116</v>
      </c>
      <c r="Z197" s="5" t="n">
        <v>0.50088</v>
      </c>
      <c r="AA197" s="4" t="s">
        <v>140</v>
      </c>
      <c r="AB197" s="4" t="s">
        <v>165</v>
      </c>
      <c r="AC197" s="5" t="n">
        <v>0.0542</v>
      </c>
      <c r="AD197" s="4" t="n">
        <f aca="false">IF(Y197=$E197,1,0)</f>
        <v>0</v>
      </c>
      <c r="AE197" s="4" t="n">
        <f aca="false">IF(OR(Y197=$E197,AA197=$E197,AB197=$E197),1,0)</f>
        <v>0</v>
      </c>
      <c r="AF197" s="4" t="n">
        <v>1</v>
      </c>
      <c r="AG197" s="9" t="n">
        <f aca="false">-LN(MAX(AC197,0.0001))</f>
        <v>2.91507437053654</v>
      </c>
    </row>
    <row r="198" customFormat="false" ht="15" hidden="false" customHeight="false" outlineLevel="0" collapsed="false">
      <c r="A198" s="4" t="n">
        <v>2025</v>
      </c>
      <c r="B198" s="4" t="n">
        <v>7</v>
      </c>
      <c r="C198" s="4" t="s">
        <v>149</v>
      </c>
      <c r="D198" s="4" t="s">
        <v>163</v>
      </c>
      <c r="E198" s="4" t="s">
        <v>116</v>
      </c>
      <c r="F198" s="4" t="n">
        <v>2</v>
      </c>
      <c r="G198" s="4" t="s">
        <v>161</v>
      </c>
      <c r="H198" s="5" t="n">
        <v>0.5991</v>
      </c>
      <c r="I198" s="4" t="s">
        <v>116</v>
      </c>
      <c r="J198" s="4" t="s">
        <v>140</v>
      </c>
      <c r="K198" s="5" t="n">
        <v>0.1482</v>
      </c>
      <c r="L198" s="4" t="n">
        <f aca="false">IF(G198=$E198,1,0)</f>
        <v>0</v>
      </c>
      <c r="M198" s="4" t="n">
        <f aca="false">IF(OR(G198=$E198,I198=$E198,J198=$E198),1,0)</f>
        <v>1</v>
      </c>
      <c r="N198" s="4" t="n">
        <v>3</v>
      </c>
      <c r="O198" s="9" t="n">
        <f aca="false">-LN(MAX(K198,0.0001))</f>
        <v>1.90919256612015</v>
      </c>
      <c r="P198" s="4" t="s">
        <v>116</v>
      </c>
      <c r="Q198" s="5" t="n">
        <v>0.26098</v>
      </c>
      <c r="R198" s="4" t="s">
        <v>140</v>
      </c>
      <c r="S198" s="4" t="s">
        <v>161</v>
      </c>
      <c r="T198" s="5" t="n">
        <v>0.26098</v>
      </c>
      <c r="U198" s="4" t="n">
        <f aca="false">IF(P198=$E198,1,0)</f>
        <v>1</v>
      </c>
      <c r="V198" s="4" t="n">
        <f aca="false">IF(OR(P198=$E198,R198=$E198,S198=$E198),1,0)</f>
        <v>1</v>
      </c>
      <c r="W198" s="4" t="n">
        <v>3</v>
      </c>
      <c r="X198" s="9" t="n">
        <f aca="false">-LN(MAX(T198,0.0001))</f>
        <v>1.34331150294804</v>
      </c>
      <c r="Y198" s="4" t="s">
        <v>161</v>
      </c>
      <c r="Z198" s="5" t="n">
        <v>0.57516</v>
      </c>
      <c r="AA198" s="4" t="s">
        <v>116</v>
      </c>
      <c r="AB198" s="4" t="s">
        <v>152</v>
      </c>
      <c r="AC198" s="5" t="n">
        <v>0.1745</v>
      </c>
      <c r="AD198" s="4" t="n">
        <f aca="false">IF(Y198=$E198,1,0)</f>
        <v>0</v>
      </c>
      <c r="AE198" s="4" t="n">
        <f aca="false">IF(OR(Y198=$E198,AA198=$E198,AB198=$E198),1,0)</f>
        <v>1</v>
      </c>
      <c r="AF198" s="4" t="n">
        <v>2</v>
      </c>
      <c r="AG198" s="9" t="n">
        <f aca="false">-LN(MAX(AC198,0.0001))</f>
        <v>1.74583053733966</v>
      </c>
    </row>
    <row r="199" customFormat="false" ht="15" hidden="false" customHeight="false" outlineLevel="0" collapsed="false">
      <c r="A199" s="4" t="n">
        <v>2025</v>
      </c>
      <c r="B199" s="4" t="n">
        <v>8</v>
      </c>
      <c r="C199" s="4" t="s">
        <v>117</v>
      </c>
      <c r="D199" s="4" t="s">
        <v>163</v>
      </c>
      <c r="E199" s="4" t="s">
        <v>140</v>
      </c>
      <c r="F199" s="4" t="n">
        <v>1</v>
      </c>
      <c r="G199" s="4" t="s">
        <v>140</v>
      </c>
      <c r="H199" s="5" t="n">
        <v>0.55124</v>
      </c>
      <c r="I199" s="4" t="s">
        <v>161</v>
      </c>
      <c r="J199" s="4" t="s">
        <v>139</v>
      </c>
      <c r="K199" s="5" t="n">
        <v>0.55124</v>
      </c>
      <c r="L199" s="4" t="n">
        <f aca="false">IF(G199=$E199,1,0)</f>
        <v>1</v>
      </c>
      <c r="M199" s="4" t="n">
        <f aca="false">IF(OR(G199=$E199,I199=$E199,J199=$E199),1,0)</f>
        <v>1</v>
      </c>
      <c r="N199" s="4" t="n">
        <v>3</v>
      </c>
      <c r="O199" s="9" t="n">
        <f aca="false">-LN(MAX(K199,0.0001))</f>
        <v>0.595584992975193</v>
      </c>
      <c r="P199" s="4" t="s">
        <v>116</v>
      </c>
      <c r="Q199" s="5" t="n">
        <v>0.3369</v>
      </c>
      <c r="R199" s="4" t="s">
        <v>140</v>
      </c>
      <c r="S199" s="4" t="s">
        <v>161</v>
      </c>
      <c r="T199" s="5" t="n">
        <v>0.24912</v>
      </c>
      <c r="U199" s="4" t="n">
        <f aca="false">IF(P199=$E199,1,0)</f>
        <v>0</v>
      </c>
      <c r="V199" s="4" t="n">
        <f aca="false">IF(OR(P199=$E199,R199=$E199,S199=$E199),1,0)</f>
        <v>1</v>
      </c>
      <c r="W199" s="4" t="n">
        <v>2</v>
      </c>
      <c r="X199" s="9" t="n">
        <f aca="false">-LN(MAX(T199,0.0001))</f>
        <v>1.38982057089645</v>
      </c>
      <c r="Y199" s="4" t="s">
        <v>140</v>
      </c>
      <c r="Z199" s="5" t="n">
        <v>0.56778</v>
      </c>
      <c r="AA199" s="4" t="s">
        <v>139</v>
      </c>
      <c r="AB199" s="4" t="s">
        <v>161</v>
      </c>
      <c r="AC199" s="5" t="n">
        <v>0.56778</v>
      </c>
      <c r="AD199" s="4" t="n">
        <f aca="false">IF(Y199=$E199,1,0)</f>
        <v>1</v>
      </c>
      <c r="AE199" s="4" t="n">
        <f aca="false">IF(OR(Y199=$E199,AA199=$E199,AB199=$E199),1,0)</f>
        <v>1</v>
      </c>
      <c r="AF199" s="4" t="n">
        <v>3</v>
      </c>
      <c r="AG199" s="9" t="n">
        <f aca="false">-LN(MAX(AC199,0.0001))</f>
        <v>0.566021259233941</v>
      </c>
    </row>
    <row r="200" customFormat="false" ht="15" hidden="false" customHeight="false" outlineLevel="0" collapsed="false">
      <c r="A200" s="4" t="n">
        <v>2025</v>
      </c>
      <c r="B200" s="4" t="n">
        <v>9</v>
      </c>
      <c r="C200" s="4" t="s">
        <v>115</v>
      </c>
      <c r="D200" s="4" t="s">
        <v>163</v>
      </c>
      <c r="E200" s="4" t="s">
        <v>161</v>
      </c>
      <c r="F200" s="4" t="n">
        <v>1</v>
      </c>
      <c r="G200" s="4" t="s">
        <v>161</v>
      </c>
      <c r="H200" s="5" t="n">
        <v>0.54014</v>
      </c>
      <c r="I200" s="4" t="s">
        <v>140</v>
      </c>
      <c r="J200" s="4" t="s">
        <v>116</v>
      </c>
      <c r="K200" s="5" t="n">
        <v>0.54014</v>
      </c>
      <c r="L200" s="4" t="n">
        <f aca="false">IF(G200=$E200,1,0)</f>
        <v>1</v>
      </c>
      <c r="M200" s="4" t="n">
        <f aca="false">IF(OR(G200=$E200,I200=$E200,J200=$E200),1,0)</f>
        <v>1</v>
      </c>
      <c r="N200" s="4" t="n">
        <v>2</v>
      </c>
      <c r="O200" s="9" t="n">
        <f aca="false">-LN(MAX(K200,0.0001))</f>
        <v>0.615926913766432</v>
      </c>
      <c r="P200" s="4" t="s">
        <v>140</v>
      </c>
      <c r="Q200" s="5" t="n">
        <v>0.30906</v>
      </c>
      <c r="R200" s="4" t="s">
        <v>116</v>
      </c>
      <c r="S200" s="4" t="s">
        <v>161</v>
      </c>
      <c r="T200" s="5" t="n">
        <v>0.19982</v>
      </c>
      <c r="U200" s="4" t="n">
        <f aca="false">IF(P200=$E200,1,0)</f>
        <v>0</v>
      </c>
      <c r="V200" s="4" t="n">
        <f aca="false">IF(OR(P200=$E200,R200=$E200,S200=$E200),1,0)</f>
        <v>1</v>
      </c>
      <c r="W200" s="4" t="n">
        <v>2</v>
      </c>
      <c r="X200" s="9" t="n">
        <f aca="false">-LN(MAX(T200,0.0001))</f>
        <v>1.61033831767726</v>
      </c>
      <c r="Y200" s="4" t="s">
        <v>161</v>
      </c>
      <c r="Z200" s="5" t="n">
        <v>0.5655</v>
      </c>
      <c r="AA200" s="4" t="s">
        <v>140</v>
      </c>
      <c r="AB200" s="4" t="s">
        <v>116</v>
      </c>
      <c r="AC200" s="5" t="n">
        <v>0.5655</v>
      </c>
      <c r="AD200" s="4" t="n">
        <f aca="false">IF(Y200=$E200,1,0)</f>
        <v>1</v>
      </c>
      <c r="AE200" s="4" t="n">
        <f aca="false">IF(OR(Y200=$E200,AA200=$E200,AB200=$E200),1,0)</f>
        <v>1</v>
      </c>
      <c r="AF200" s="4" t="n">
        <v>2</v>
      </c>
      <c r="AG200" s="9" t="n">
        <f aca="false">-LN(MAX(AC200,0.0001))</f>
        <v>0.570044983425962</v>
      </c>
    </row>
    <row r="201" customFormat="false" ht="15" hidden="false" customHeight="false" outlineLevel="0" collapsed="false">
      <c r="A201" s="4" t="n">
        <v>2025</v>
      </c>
      <c r="B201" s="4" t="n">
        <v>10</v>
      </c>
      <c r="C201" s="4" t="s">
        <v>118</v>
      </c>
      <c r="D201" s="4" t="s">
        <v>163</v>
      </c>
      <c r="E201" s="4" t="s">
        <v>152</v>
      </c>
      <c r="F201" s="4" t="n">
        <v>1</v>
      </c>
      <c r="G201" s="4" t="s">
        <v>152</v>
      </c>
      <c r="H201" s="5" t="n">
        <v>0.40082</v>
      </c>
      <c r="I201" s="4" t="s">
        <v>161</v>
      </c>
      <c r="J201" s="4" t="s">
        <v>116</v>
      </c>
      <c r="K201" s="5" t="n">
        <v>0.40082</v>
      </c>
      <c r="L201" s="4" t="n">
        <f aca="false">IF(G201=$E201,1,0)</f>
        <v>1</v>
      </c>
      <c r="M201" s="4" t="n">
        <f aca="false">IF(OR(G201=$E201,I201=$E201,J201=$E201),1,0)</f>
        <v>1</v>
      </c>
      <c r="N201" s="4" t="n">
        <v>2</v>
      </c>
      <c r="O201" s="9" t="n">
        <f aca="false">-LN(MAX(K201,0.0001))</f>
        <v>0.914242830256855</v>
      </c>
      <c r="P201" s="4" t="s">
        <v>140</v>
      </c>
      <c r="Q201" s="5" t="n">
        <v>0.3509</v>
      </c>
      <c r="R201" s="4" t="s">
        <v>161</v>
      </c>
      <c r="S201" s="4" t="s">
        <v>116</v>
      </c>
      <c r="T201" s="5" t="n">
        <v>0.06768</v>
      </c>
      <c r="U201" s="4" t="n">
        <f aca="false">IF(P201=$E201,1,0)</f>
        <v>0</v>
      </c>
      <c r="V201" s="4" t="n">
        <f aca="false">IF(OR(P201=$E201,R201=$E201,S201=$E201),1,0)</f>
        <v>0</v>
      </c>
      <c r="W201" s="4" t="n">
        <v>1</v>
      </c>
      <c r="X201" s="9" t="n">
        <f aca="false">-LN(MAX(T201,0.0001))</f>
        <v>2.69296456368417</v>
      </c>
      <c r="Y201" s="4" t="s">
        <v>152</v>
      </c>
      <c r="Z201" s="5" t="n">
        <v>0.52888</v>
      </c>
      <c r="AA201" s="4" t="s">
        <v>116</v>
      </c>
      <c r="AB201" s="4" t="s">
        <v>161</v>
      </c>
      <c r="AC201" s="5" t="n">
        <v>0.52888</v>
      </c>
      <c r="AD201" s="4" t="n">
        <f aca="false">IF(Y201=$E201,1,0)</f>
        <v>1</v>
      </c>
      <c r="AE201" s="4" t="n">
        <f aca="false">IF(OR(Y201=$E201,AA201=$E201,AB201=$E201),1,0)</f>
        <v>1</v>
      </c>
      <c r="AF201" s="4" t="n">
        <v>2</v>
      </c>
      <c r="AG201" s="9" t="n">
        <f aca="false">-LN(MAX(AC201,0.0001))</f>
        <v>0.636993715956814</v>
      </c>
    </row>
    <row r="202" customFormat="false" ht="15" hidden="false" customHeight="false" outlineLevel="0" collapsed="false">
      <c r="A202" s="4" t="n">
        <v>2025</v>
      </c>
      <c r="B202" s="4" t="n">
        <v>11</v>
      </c>
      <c r="C202" s="4" t="s">
        <v>120</v>
      </c>
      <c r="D202" s="4" t="s">
        <v>163</v>
      </c>
      <c r="E202" s="4" t="s">
        <v>140</v>
      </c>
      <c r="F202" s="4" t="n">
        <v>1</v>
      </c>
      <c r="G202" s="4" t="s">
        <v>140</v>
      </c>
      <c r="H202" s="5" t="n">
        <v>0.38918</v>
      </c>
      <c r="I202" s="4" t="s">
        <v>161</v>
      </c>
      <c r="J202" s="4" t="s">
        <v>139</v>
      </c>
      <c r="K202" s="5" t="n">
        <v>0.38918</v>
      </c>
      <c r="L202" s="4" t="n">
        <f aca="false">IF(G202=$E202,1,0)</f>
        <v>1</v>
      </c>
      <c r="M202" s="4" t="n">
        <f aca="false">IF(OR(G202=$E202,I202=$E202,J202=$E202),1,0)</f>
        <v>1</v>
      </c>
      <c r="N202" s="4" t="n">
        <v>3</v>
      </c>
      <c r="O202" s="9" t="n">
        <f aca="false">-LN(MAX(K202,0.0001))</f>
        <v>0.943713317452127</v>
      </c>
      <c r="P202" s="4" t="s">
        <v>161</v>
      </c>
      <c r="Q202" s="5" t="n">
        <v>0.29162</v>
      </c>
      <c r="R202" s="4" t="s">
        <v>116</v>
      </c>
      <c r="S202" s="4" t="s">
        <v>140</v>
      </c>
      <c r="T202" s="5" t="n">
        <v>0.1605</v>
      </c>
      <c r="U202" s="4" t="n">
        <f aca="false">IF(P202=$E202,1,0)</f>
        <v>0</v>
      </c>
      <c r="V202" s="4" t="n">
        <f aca="false">IF(OR(P202=$E202,R202=$E202,S202=$E202),1,0)</f>
        <v>1</v>
      </c>
      <c r="W202" s="4" t="n">
        <v>2</v>
      </c>
      <c r="X202" s="9" t="n">
        <f aca="false">-LN(MAX(T202,0.0001))</f>
        <v>1.82946133641207</v>
      </c>
      <c r="Y202" s="4" t="s">
        <v>140</v>
      </c>
      <c r="Z202" s="5" t="n">
        <v>0.56448</v>
      </c>
      <c r="AA202" s="4" t="s">
        <v>139</v>
      </c>
      <c r="AB202" s="4" t="s">
        <v>161</v>
      </c>
      <c r="AC202" s="5" t="n">
        <v>0.56448</v>
      </c>
      <c r="AD202" s="4" t="n">
        <f aca="false">IF(Y202=$E202,1,0)</f>
        <v>1</v>
      </c>
      <c r="AE202" s="4" t="n">
        <f aca="false">IF(OR(Y202=$E202,AA202=$E202,AB202=$E202),1,0)</f>
        <v>1</v>
      </c>
      <c r="AF202" s="4" t="n">
        <v>3</v>
      </c>
      <c r="AG202" s="9" t="n">
        <f aca="false">-LN(MAX(AC202,0.0001))</f>
        <v>0.571850325603765</v>
      </c>
    </row>
    <row r="203" customFormat="false" ht="15" hidden="false" customHeight="false" outlineLevel="0" collapsed="false">
      <c r="A203" s="4" t="n">
        <v>2025</v>
      </c>
      <c r="B203" s="4" t="n">
        <v>12</v>
      </c>
      <c r="C203" s="4" t="s">
        <v>123</v>
      </c>
      <c r="D203" s="4" t="s">
        <v>163</v>
      </c>
      <c r="E203" s="4" t="s">
        <v>140</v>
      </c>
      <c r="F203" s="4" t="n">
        <v>3</v>
      </c>
      <c r="G203" s="4" t="s">
        <v>161</v>
      </c>
      <c r="H203" s="5" t="n">
        <v>0.30934</v>
      </c>
      <c r="I203" s="4" t="s">
        <v>116</v>
      </c>
      <c r="J203" s="4" t="s">
        <v>140</v>
      </c>
      <c r="K203" s="5" t="n">
        <v>0.12898</v>
      </c>
      <c r="L203" s="4" t="n">
        <f aca="false">IF(G203=$E203,1,0)</f>
        <v>0</v>
      </c>
      <c r="M203" s="4" t="n">
        <f aca="false">IF(OR(G203=$E203,I203=$E203,J203=$E203),1,0)</f>
        <v>1</v>
      </c>
      <c r="N203" s="4" t="n">
        <v>2</v>
      </c>
      <c r="O203" s="9" t="n">
        <f aca="false">-LN(MAX(K203,0.0001))</f>
        <v>2.04809792539991</v>
      </c>
      <c r="P203" s="4" t="s">
        <v>161</v>
      </c>
      <c r="Q203" s="5" t="n">
        <v>0.31414</v>
      </c>
      <c r="R203" s="4" t="s">
        <v>140</v>
      </c>
      <c r="S203" s="4" t="s">
        <v>139</v>
      </c>
      <c r="T203" s="5" t="n">
        <v>0.22756</v>
      </c>
      <c r="U203" s="4" t="n">
        <f aca="false">IF(P203=$E203,1,0)</f>
        <v>0</v>
      </c>
      <c r="V203" s="4" t="n">
        <f aca="false">IF(OR(P203=$E203,R203=$E203,S203=$E203),1,0)</f>
        <v>1</v>
      </c>
      <c r="W203" s="4" t="n">
        <v>2</v>
      </c>
      <c r="X203" s="9" t="n">
        <f aca="false">-LN(MAX(T203,0.0001))</f>
        <v>1.48034133909969</v>
      </c>
      <c r="Y203" s="4" t="s">
        <v>116</v>
      </c>
      <c r="Z203" s="5" t="n">
        <v>0.48522</v>
      </c>
      <c r="AA203" s="4" t="s">
        <v>161</v>
      </c>
      <c r="AB203" s="4" t="s">
        <v>140</v>
      </c>
      <c r="AC203" s="5" t="n">
        <v>0.10042</v>
      </c>
      <c r="AD203" s="4" t="n">
        <f aca="false">IF(Y203=$E203,1,0)</f>
        <v>0</v>
      </c>
      <c r="AE203" s="4" t="n">
        <f aca="false">IF(OR(Y203=$E203,AA203=$E203,AB203=$E203),1,0)</f>
        <v>1</v>
      </c>
      <c r="AF203" s="4" t="n">
        <v>2</v>
      </c>
      <c r="AG203" s="9" t="n">
        <f aca="false">-LN(MAX(AC203,0.0001))</f>
        <v>2.29839388837558</v>
      </c>
    </row>
    <row r="204" customFormat="false" ht="15" hidden="false" customHeight="false" outlineLevel="0" collapsed="false">
      <c r="A204" s="4" t="n">
        <v>2025</v>
      </c>
      <c r="B204" s="4" t="n">
        <v>13</v>
      </c>
      <c r="C204" s="4" t="s">
        <v>126</v>
      </c>
      <c r="D204" s="4" t="s">
        <v>163</v>
      </c>
      <c r="E204" s="4" t="s">
        <v>161</v>
      </c>
      <c r="F204" s="4" t="n">
        <v>2</v>
      </c>
      <c r="G204" s="4" t="s">
        <v>140</v>
      </c>
      <c r="H204" s="5" t="n">
        <v>0.4554</v>
      </c>
      <c r="I204" s="4" t="s">
        <v>161</v>
      </c>
      <c r="J204" s="4" t="s">
        <v>116</v>
      </c>
      <c r="K204" s="5" t="n">
        <v>0.35882</v>
      </c>
      <c r="L204" s="4" t="n">
        <f aca="false">IF(G204=$E204,1,0)</f>
        <v>0</v>
      </c>
      <c r="M204" s="4" t="n">
        <f aca="false">IF(OR(G204=$E204,I204=$E204,J204=$E204),1,0)</f>
        <v>1</v>
      </c>
      <c r="N204" s="4" t="n">
        <v>2</v>
      </c>
      <c r="O204" s="9" t="n">
        <f aca="false">-LN(MAX(K204,0.0001))</f>
        <v>1.0249344089909</v>
      </c>
      <c r="P204" s="4" t="s">
        <v>161</v>
      </c>
      <c r="Q204" s="5" t="n">
        <v>0.33604</v>
      </c>
      <c r="R204" s="4" t="s">
        <v>140</v>
      </c>
      <c r="S204" s="4" t="s">
        <v>116</v>
      </c>
      <c r="T204" s="5" t="n">
        <v>0.33604</v>
      </c>
      <c r="U204" s="4" t="n">
        <f aca="false">IF(P204=$E204,1,0)</f>
        <v>1</v>
      </c>
      <c r="V204" s="4" t="n">
        <f aca="false">IF(OR(P204=$E204,R204=$E204,S204=$E204),1,0)</f>
        <v>1</v>
      </c>
      <c r="W204" s="4" t="n">
        <v>2</v>
      </c>
      <c r="X204" s="9" t="n">
        <f aca="false">-LN(MAX(T204,0.0001))</f>
        <v>1.09052507848549</v>
      </c>
      <c r="Y204" s="4" t="s">
        <v>140</v>
      </c>
      <c r="Z204" s="5" t="n">
        <v>0.55892</v>
      </c>
      <c r="AA204" s="4" t="s">
        <v>161</v>
      </c>
      <c r="AB204" s="4" t="s">
        <v>139</v>
      </c>
      <c r="AC204" s="5" t="n">
        <v>0.1996</v>
      </c>
      <c r="AD204" s="4" t="n">
        <f aca="false">IF(Y204=$E204,1,0)</f>
        <v>0</v>
      </c>
      <c r="AE204" s="4" t="n">
        <f aca="false">IF(OR(Y204=$E204,AA204=$E204,AB204=$E204),1,0)</f>
        <v>1</v>
      </c>
      <c r="AF204" s="4" t="n">
        <v>3</v>
      </c>
      <c r="AG204" s="9" t="n">
        <f aca="false">-LN(MAX(AC204,0.0001))</f>
        <v>1.61143991510477</v>
      </c>
    </row>
    <row r="205" customFormat="false" ht="15" hidden="false" customHeight="false" outlineLevel="0" collapsed="false">
      <c r="A205" s="4" t="n">
        <v>2025</v>
      </c>
      <c r="B205" s="4" t="n">
        <v>14</v>
      </c>
      <c r="C205" s="4" t="s">
        <v>124</v>
      </c>
      <c r="D205" s="4" t="s">
        <v>163</v>
      </c>
      <c r="E205" s="4" t="s">
        <v>140</v>
      </c>
      <c r="F205" s="4" t="n">
        <v>3</v>
      </c>
      <c r="G205" s="4" t="s">
        <v>161</v>
      </c>
      <c r="H205" s="5" t="n">
        <v>0.35654</v>
      </c>
      <c r="I205" s="4" t="s">
        <v>139</v>
      </c>
      <c r="J205" s="4" t="s">
        <v>140</v>
      </c>
      <c r="K205" s="5" t="n">
        <v>0.21188</v>
      </c>
      <c r="L205" s="4" t="n">
        <f aca="false">IF(G205=$E205,1,0)</f>
        <v>0</v>
      </c>
      <c r="M205" s="4" t="n">
        <f aca="false">IF(OR(G205=$E205,I205=$E205,J205=$E205),1,0)</f>
        <v>1</v>
      </c>
      <c r="N205" s="4" t="n">
        <v>2</v>
      </c>
      <c r="O205" s="9" t="n">
        <f aca="false">-LN(MAX(K205,0.0001))</f>
        <v>1.55173520230581</v>
      </c>
      <c r="P205" s="4" t="s">
        <v>161</v>
      </c>
      <c r="Q205" s="5" t="n">
        <v>0.34806</v>
      </c>
      <c r="R205" s="4" t="s">
        <v>140</v>
      </c>
      <c r="S205" s="4" t="s">
        <v>116</v>
      </c>
      <c r="T205" s="5" t="n">
        <v>0.2942</v>
      </c>
      <c r="U205" s="4" t="n">
        <f aca="false">IF(P205=$E205,1,0)</f>
        <v>0</v>
      </c>
      <c r="V205" s="4" t="n">
        <f aca="false">IF(OR(P205=$E205,R205=$E205,S205=$E205),1,0)</f>
        <v>1</v>
      </c>
      <c r="W205" s="4" t="n">
        <v>2</v>
      </c>
      <c r="X205" s="9" t="n">
        <f aca="false">-LN(MAX(T205,0.0001))</f>
        <v>1.2234954708148</v>
      </c>
      <c r="Y205" s="4" t="s">
        <v>139</v>
      </c>
      <c r="Z205" s="5" t="n">
        <v>0.5244</v>
      </c>
      <c r="AA205" s="4" t="s">
        <v>161</v>
      </c>
      <c r="AB205" s="4" t="s">
        <v>140</v>
      </c>
      <c r="AC205" s="5" t="n">
        <v>0.09352</v>
      </c>
      <c r="AD205" s="4" t="n">
        <f aca="false">IF(Y205=$E205,1,0)</f>
        <v>0</v>
      </c>
      <c r="AE205" s="4" t="n">
        <f aca="false">IF(OR(Y205=$E205,AA205=$E205,AB205=$E205),1,0)</f>
        <v>1</v>
      </c>
      <c r="AF205" s="4" t="n">
        <v>2</v>
      </c>
      <c r="AG205" s="9" t="n">
        <f aca="false">-LN(MAX(AC205,0.0001))</f>
        <v>2.36957996181832</v>
      </c>
    </row>
    <row r="206" customFormat="false" ht="15" hidden="false" customHeight="false" outlineLevel="0" collapsed="false">
      <c r="A206" s="4" t="n">
        <v>2025</v>
      </c>
      <c r="B206" s="4" t="n">
        <v>15</v>
      </c>
      <c r="C206" s="4" t="s">
        <v>154</v>
      </c>
      <c r="D206" s="4" t="s">
        <v>163</v>
      </c>
      <c r="E206" s="4" t="s">
        <v>161</v>
      </c>
      <c r="F206" s="4" t="n">
        <v>1</v>
      </c>
      <c r="G206" s="4" t="s">
        <v>161</v>
      </c>
      <c r="H206" s="5" t="n">
        <v>0.56284</v>
      </c>
      <c r="I206" s="4" t="s">
        <v>140</v>
      </c>
      <c r="J206" s="4" t="s">
        <v>116</v>
      </c>
      <c r="K206" s="5" t="n">
        <v>0.56284</v>
      </c>
      <c r="L206" s="4" t="n">
        <f aca="false">IF(G206=$E206,1,0)</f>
        <v>1</v>
      </c>
      <c r="M206" s="4" t="n">
        <f aca="false">IF(OR(G206=$E206,I206=$E206,J206=$E206),1,0)</f>
        <v>1</v>
      </c>
      <c r="N206" s="4" t="n">
        <v>2</v>
      </c>
      <c r="O206" s="9" t="n">
        <f aca="false">-LN(MAX(K206,0.0001))</f>
        <v>0.574759883062082</v>
      </c>
      <c r="P206" s="4" t="s">
        <v>161</v>
      </c>
      <c r="Q206" s="5" t="n">
        <v>0.35386</v>
      </c>
      <c r="R206" s="4" t="s">
        <v>140</v>
      </c>
      <c r="S206" s="4" t="s">
        <v>116</v>
      </c>
      <c r="T206" s="5" t="n">
        <v>0.35386</v>
      </c>
      <c r="U206" s="4" t="n">
        <f aca="false">IF(P206=$E206,1,0)</f>
        <v>1</v>
      </c>
      <c r="V206" s="4" t="n">
        <f aca="false">IF(OR(P206=$E206,R206=$E206,S206=$E206),1,0)</f>
        <v>1</v>
      </c>
      <c r="W206" s="4" t="n">
        <v>2</v>
      </c>
      <c r="X206" s="9" t="n">
        <f aca="false">-LN(MAX(T206,0.0001))</f>
        <v>1.03885392429728</v>
      </c>
      <c r="Y206" s="4" t="s">
        <v>161</v>
      </c>
      <c r="Z206" s="5" t="n">
        <v>0.56432</v>
      </c>
      <c r="AA206" s="4" t="s">
        <v>140</v>
      </c>
      <c r="AB206" s="4" t="s">
        <v>116</v>
      </c>
      <c r="AC206" s="5" t="n">
        <v>0.56432</v>
      </c>
      <c r="AD206" s="4" t="n">
        <f aca="false">IF(Y206=$E206,1,0)</f>
        <v>1</v>
      </c>
      <c r="AE206" s="4" t="n">
        <f aca="false">IF(OR(Y206=$E206,AA206=$E206,AB206=$E206),1,0)</f>
        <v>1</v>
      </c>
      <c r="AF206" s="4" t="n">
        <v>2</v>
      </c>
      <c r="AG206" s="9" t="n">
        <f aca="false">-LN(MAX(AC206,0.0001))</f>
        <v>0.572133812494395</v>
      </c>
    </row>
    <row r="207" customFormat="false" ht="15" hidden="false" customHeight="false" outlineLevel="0" collapsed="false">
      <c r="A207" s="4" t="n">
        <v>2025</v>
      </c>
      <c r="B207" s="4" t="n">
        <v>16</v>
      </c>
      <c r="C207" s="4" t="s">
        <v>127</v>
      </c>
      <c r="D207" s="4" t="s">
        <v>163</v>
      </c>
      <c r="E207" s="4" t="s">
        <v>116</v>
      </c>
      <c r="F207" s="4" t="n">
        <v>1</v>
      </c>
      <c r="G207" s="4" t="s">
        <v>116</v>
      </c>
      <c r="H207" s="5" t="n">
        <v>0.3896</v>
      </c>
      <c r="I207" s="4" t="s">
        <v>161</v>
      </c>
      <c r="J207" s="4" t="s">
        <v>140</v>
      </c>
      <c r="K207" s="5" t="n">
        <v>0.3896</v>
      </c>
      <c r="L207" s="4" t="n">
        <f aca="false">IF(G207=$E207,1,0)</f>
        <v>1</v>
      </c>
      <c r="M207" s="4" t="n">
        <f aca="false">IF(OR(G207=$E207,I207=$E207,J207=$E207),1,0)</f>
        <v>1</v>
      </c>
      <c r="N207" s="4" t="n">
        <v>3</v>
      </c>
      <c r="O207" s="9" t="n">
        <f aca="false">-LN(MAX(K207,0.0001))</f>
        <v>0.942634707213757</v>
      </c>
      <c r="P207" s="4" t="s">
        <v>161</v>
      </c>
      <c r="Q207" s="5" t="n">
        <v>0.49284</v>
      </c>
      <c r="R207" s="4" t="s">
        <v>140</v>
      </c>
      <c r="S207" s="4" t="s">
        <v>116</v>
      </c>
      <c r="T207" s="5" t="n">
        <v>0.1302</v>
      </c>
      <c r="U207" s="4" t="n">
        <f aca="false">IF(P207=$E207,1,0)</f>
        <v>0</v>
      </c>
      <c r="V207" s="4" t="n">
        <f aca="false">IF(OR(P207=$E207,R207=$E207,S207=$E207),1,0)</f>
        <v>1</v>
      </c>
      <c r="W207" s="4" t="n">
        <v>3</v>
      </c>
      <c r="X207" s="9" t="n">
        <f aca="false">-LN(MAX(T207,0.0001))</f>
        <v>2.03868354920767</v>
      </c>
      <c r="Y207" s="4" t="s">
        <v>116</v>
      </c>
      <c r="Z207" s="5" t="n">
        <v>0.51314</v>
      </c>
      <c r="AA207" s="4" t="s">
        <v>140</v>
      </c>
      <c r="AB207" s="4" t="s">
        <v>161</v>
      </c>
      <c r="AC207" s="5" t="n">
        <v>0.51314</v>
      </c>
      <c r="AD207" s="4" t="n">
        <f aca="false">IF(Y207=$E207,1,0)</f>
        <v>1</v>
      </c>
      <c r="AE207" s="4" t="n">
        <f aca="false">IF(OR(Y207=$E207,AA207=$E207,AB207=$E207),1,0)</f>
        <v>1</v>
      </c>
      <c r="AF207" s="4" t="n">
        <v>3</v>
      </c>
      <c r="AG207" s="9" t="n">
        <f aca="false">-LN(MAX(AC207,0.0001))</f>
        <v>0.667206566559592</v>
      </c>
    </row>
    <row r="208" customFormat="false" ht="15" hidden="false" customHeight="false" outlineLevel="0" collapsed="false">
      <c r="A208" s="4" t="n">
        <v>2025</v>
      </c>
      <c r="B208" s="4" t="n">
        <v>17</v>
      </c>
      <c r="C208" s="4" t="s">
        <v>135</v>
      </c>
      <c r="D208" s="4" t="s">
        <v>163</v>
      </c>
      <c r="E208" s="4" t="s">
        <v>116</v>
      </c>
      <c r="F208" s="4" t="n">
        <v>1</v>
      </c>
      <c r="G208" s="4" t="s">
        <v>116</v>
      </c>
      <c r="H208" s="5" t="n">
        <v>0.54364</v>
      </c>
      <c r="I208" s="4" t="s">
        <v>161</v>
      </c>
      <c r="J208" s="4" t="s">
        <v>152</v>
      </c>
      <c r="K208" s="5" t="n">
        <v>0.54364</v>
      </c>
      <c r="L208" s="4" t="n">
        <f aca="false">IF(G208=$E208,1,0)</f>
        <v>1</v>
      </c>
      <c r="M208" s="4" t="n">
        <f aca="false">IF(OR(G208=$E208,I208=$E208,J208=$E208),1,0)</f>
        <v>1</v>
      </c>
      <c r="N208" s="4" t="n">
        <v>2</v>
      </c>
      <c r="O208" s="9" t="n">
        <f aca="false">-LN(MAX(K208,0.0001))</f>
        <v>0.60946801589499</v>
      </c>
      <c r="P208" s="4" t="s">
        <v>161</v>
      </c>
      <c r="Q208" s="5" t="n">
        <v>0.4159</v>
      </c>
      <c r="R208" s="4" t="s">
        <v>140</v>
      </c>
      <c r="S208" s="4" t="s">
        <v>116</v>
      </c>
      <c r="T208" s="5" t="n">
        <v>0.1804</v>
      </c>
      <c r="U208" s="4" t="n">
        <f aca="false">IF(P208=$E208,1,0)</f>
        <v>0</v>
      </c>
      <c r="V208" s="4" t="n">
        <f aca="false">IF(OR(P208=$E208,R208=$E208,S208=$E208),1,0)</f>
        <v>1</v>
      </c>
      <c r="W208" s="4" t="n">
        <v>1</v>
      </c>
      <c r="X208" s="9" t="n">
        <f aca="false">-LN(MAX(T208,0.0001))</f>
        <v>1.71257867135361</v>
      </c>
      <c r="Y208" s="4" t="s">
        <v>116</v>
      </c>
      <c r="Z208" s="5" t="n">
        <v>0.54472</v>
      </c>
      <c r="AA208" s="4" t="s">
        <v>142</v>
      </c>
      <c r="AB208" s="4" t="s">
        <v>166</v>
      </c>
      <c r="AC208" s="5" t="n">
        <v>0.54472</v>
      </c>
      <c r="AD208" s="4" t="n">
        <f aca="false">IF(Y208=$E208,1,0)</f>
        <v>1</v>
      </c>
      <c r="AE208" s="4" t="n">
        <f aca="false">IF(OR(Y208=$E208,AA208=$E208,AB208=$E208),1,0)</f>
        <v>1</v>
      </c>
      <c r="AF208" s="4" t="n">
        <v>2</v>
      </c>
      <c r="AG208" s="9" t="n">
        <f aca="false">-LN(MAX(AC208,0.0001))</f>
        <v>0.607483377807426</v>
      </c>
    </row>
    <row r="209" customFormat="false" ht="15" hidden="false" customHeight="false" outlineLevel="0" collapsed="false">
      <c r="A209" s="4" t="n">
        <v>2025</v>
      </c>
      <c r="B209" s="4" t="n">
        <v>18</v>
      </c>
      <c r="C209" s="4" t="s">
        <v>128</v>
      </c>
      <c r="D209" s="4" t="s">
        <v>163</v>
      </c>
      <c r="E209" s="4" t="s">
        <v>152</v>
      </c>
      <c r="F209" s="4" t="n">
        <v>1</v>
      </c>
      <c r="G209" s="4" t="s">
        <v>152</v>
      </c>
      <c r="H209" s="5" t="n">
        <v>0.40254</v>
      </c>
      <c r="I209" s="4" t="s">
        <v>116</v>
      </c>
      <c r="J209" s="4" t="s">
        <v>140</v>
      </c>
      <c r="K209" s="5" t="n">
        <v>0.40254</v>
      </c>
      <c r="L209" s="4" t="n">
        <f aca="false">IF(G209=$E209,1,0)</f>
        <v>1</v>
      </c>
      <c r="M209" s="4" t="n">
        <f aca="false">IF(OR(G209=$E209,I209=$E209,J209=$E209),1,0)</f>
        <v>1</v>
      </c>
      <c r="N209" s="4" t="n">
        <v>3</v>
      </c>
      <c r="O209" s="9" t="n">
        <f aca="false">-LN(MAX(K209,0.0001))</f>
        <v>0.909960808179285</v>
      </c>
      <c r="P209" s="4" t="s">
        <v>161</v>
      </c>
      <c r="Q209" s="5" t="n">
        <v>0.28422</v>
      </c>
      <c r="R209" s="4" t="s">
        <v>116</v>
      </c>
      <c r="S209" s="4" t="s">
        <v>140</v>
      </c>
      <c r="T209" s="5" t="n">
        <v>0.08892</v>
      </c>
      <c r="U209" s="4" t="n">
        <f aca="false">IF(P209=$E209,1,0)</f>
        <v>0</v>
      </c>
      <c r="V209" s="4" t="n">
        <f aca="false">IF(OR(P209=$E209,R209=$E209,S209=$E209),1,0)</f>
        <v>0</v>
      </c>
      <c r="W209" s="4" t="n">
        <v>2</v>
      </c>
      <c r="X209" s="9" t="n">
        <f aca="false">-LN(MAX(T209,0.0001))</f>
        <v>2.42001818988614</v>
      </c>
      <c r="Y209" s="4" t="s">
        <v>152</v>
      </c>
      <c r="Z209" s="5" t="n">
        <v>0.50132</v>
      </c>
      <c r="AA209" s="4" t="s">
        <v>116</v>
      </c>
      <c r="AB209" s="4" t="s">
        <v>161</v>
      </c>
      <c r="AC209" s="5" t="n">
        <v>0.50132</v>
      </c>
      <c r="AD209" s="4" t="n">
        <f aca="false">IF(Y209=$E209,1,0)</f>
        <v>1</v>
      </c>
      <c r="AE209" s="4" t="n">
        <f aca="false">IF(OR(Y209=$E209,AA209=$E209,AB209=$E209),1,0)</f>
        <v>1</v>
      </c>
      <c r="AF209" s="4" t="n">
        <v>2</v>
      </c>
      <c r="AG209" s="9" t="n">
        <f aca="false">-LN(MAX(AC209,0.0001))</f>
        <v>0.690510659238816</v>
      </c>
    </row>
    <row r="210" customFormat="false" ht="15" hidden="false" customHeight="false" outlineLevel="0" collapsed="false">
      <c r="A210" s="4" t="n">
        <v>2025</v>
      </c>
      <c r="B210" s="4" t="n">
        <v>19</v>
      </c>
      <c r="C210" s="4" t="s">
        <v>131</v>
      </c>
      <c r="D210" s="4" t="s">
        <v>163</v>
      </c>
      <c r="E210" s="4" t="s">
        <v>116</v>
      </c>
      <c r="F210" s="4" t="n">
        <v>1</v>
      </c>
      <c r="G210" s="4" t="s">
        <v>116</v>
      </c>
      <c r="H210" s="5" t="n">
        <v>0.7447</v>
      </c>
      <c r="I210" s="4" t="s">
        <v>152</v>
      </c>
      <c r="J210" s="4" t="s">
        <v>139</v>
      </c>
      <c r="K210" s="5" t="n">
        <v>0.7447</v>
      </c>
      <c r="L210" s="4" t="n">
        <f aca="false">IF(G210=$E210,1,0)</f>
        <v>1</v>
      </c>
      <c r="M210" s="4" t="n">
        <f aca="false">IF(OR(G210=$E210,I210=$E210,J210=$E210),1,0)</f>
        <v>1</v>
      </c>
      <c r="N210" s="4" t="n">
        <v>2</v>
      </c>
      <c r="O210" s="9" t="n">
        <f aca="false">-LN(MAX(K210,0.0001))</f>
        <v>0.294773826265537</v>
      </c>
      <c r="P210" s="4" t="s">
        <v>116</v>
      </c>
      <c r="Q210" s="5" t="n">
        <v>0.27072</v>
      </c>
      <c r="R210" s="4" t="s">
        <v>161</v>
      </c>
      <c r="S210" s="4" t="s">
        <v>140</v>
      </c>
      <c r="T210" s="5" t="n">
        <v>0.27072</v>
      </c>
      <c r="U210" s="4" t="n">
        <f aca="false">IF(P210=$E210,1,0)</f>
        <v>1</v>
      </c>
      <c r="V210" s="4" t="n">
        <f aca="false">IF(OR(P210=$E210,R210=$E210,S210=$E210),1,0)</f>
        <v>1</v>
      </c>
      <c r="W210" s="4" t="n">
        <v>2</v>
      </c>
      <c r="X210" s="9" t="n">
        <f aca="false">-LN(MAX(T210,0.0001))</f>
        <v>1.30667020256428</v>
      </c>
      <c r="Y210" s="4" t="s">
        <v>116</v>
      </c>
      <c r="Z210" s="5" t="n">
        <v>0.53138</v>
      </c>
      <c r="AA210" s="4" t="s">
        <v>140</v>
      </c>
      <c r="AB210" s="4" t="s">
        <v>139</v>
      </c>
      <c r="AC210" s="5" t="n">
        <v>0.53138</v>
      </c>
      <c r="AD210" s="4" t="n">
        <f aca="false">IF(Y210=$E210,1,0)</f>
        <v>1</v>
      </c>
      <c r="AE210" s="4" t="n">
        <f aca="false">IF(OR(Y210=$E210,AA210=$E210,AB210=$E210),1,0)</f>
        <v>1</v>
      </c>
      <c r="AF210" s="4" t="n">
        <v>3</v>
      </c>
      <c r="AG210" s="9" t="n">
        <f aca="false">-LN(MAX(AC210,0.0001))</f>
        <v>0.632277882796759</v>
      </c>
    </row>
    <row r="211" customFormat="false" ht="15" hidden="false" customHeight="false" outlineLevel="0" collapsed="false">
      <c r="A211" s="4" t="n">
        <v>2025</v>
      </c>
      <c r="B211" s="4" t="n">
        <v>20</v>
      </c>
      <c r="C211" s="4" t="s">
        <v>155</v>
      </c>
      <c r="D211" s="4" t="s">
        <v>163</v>
      </c>
      <c r="E211" s="4" t="s">
        <v>140</v>
      </c>
      <c r="F211" s="4" t="n">
        <v>1</v>
      </c>
      <c r="G211" s="4" t="s">
        <v>140</v>
      </c>
      <c r="H211" s="5" t="n">
        <v>0.50214</v>
      </c>
      <c r="I211" s="4" t="s">
        <v>139</v>
      </c>
      <c r="J211" s="4" t="s">
        <v>116</v>
      </c>
      <c r="K211" s="5" t="n">
        <v>0.50214</v>
      </c>
      <c r="L211" s="4" t="n">
        <f aca="false">IF(G211=$E211,1,0)</f>
        <v>1</v>
      </c>
      <c r="M211" s="4" t="n">
        <f aca="false">IF(OR(G211=$E211,I211=$E211,J211=$E211),1,0)</f>
        <v>1</v>
      </c>
      <c r="N211" s="4" t="n">
        <v>3</v>
      </c>
      <c r="O211" s="9" t="n">
        <f aca="false">-LN(MAX(K211,0.0001))</f>
        <v>0.688876313709299</v>
      </c>
      <c r="P211" s="4" t="s">
        <v>116</v>
      </c>
      <c r="Q211" s="5" t="n">
        <v>0.30588</v>
      </c>
      <c r="R211" s="4" t="s">
        <v>161</v>
      </c>
      <c r="S211" s="4" t="s">
        <v>140</v>
      </c>
      <c r="T211" s="5" t="n">
        <v>0.2023</v>
      </c>
      <c r="U211" s="4" t="n">
        <f aca="false">IF(P211=$E211,1,0)</f>
        <v>0</v>
      </c>
      <c r="V211" s="4" t="n">
        <f aca="false">IF(OR(P211=$E211,R211=$E211,S211=$E211),1,0)</f>
        <v>1</v>
      </c>
      <c r="W211" s="4" t="n">
        <v>2</v>
      </c>
      <c r="X211" s="9" t="n">
        <f aca="false">-LN(MAX(T211,0.0001))</f>
        <v>1.59800353480844</v>
      </c>
      <c r="Y211" s="4" t="s">
        <v>140</v>
      </c>
      <c r="Z211" s="5" t="n">
        <v>0.54956</v>
      </c>
      <c r="AA211" s="4" t="s">
        <v>139</v>
      </c>
      <c r="AB211" s="4" t="s">
        <v>107</v>
      </c>
      <c r="AC211" s="5" t="n">
        <v>0.54956</v>
      </c>
      <c r="AD211" s="4" t="n">
        <f aca="false">IF(Y211=$E211,1,0)</f>
        <v>1</v>
      </c>
      <c r="AE211" s="4" t="n">
        <f aca="false">IF(OR(Y211=$E211,AA211=$E211,AB211=$E211),1,0)</f>
        <v>1</v>
      </c>
      <c r="AF211" s="4" t="n">
        <v>2</v>
      </c>
      <c r="AG211" s="9" t="n">
        <f aca="false">-LN(MAX(AC211,0.0001))</f>
        <v>0.59863732092639</v>
      </c>
    </row>
    <row r="212" customFormat="false" ht="15" hidden="false" customHeight="false" outlineLevel="0" collapsed="false">
      <c r="A212" s="4" t="n">
        <v>2025</v>
      </c>
      <c r="B212" s="4" t="n">
        <v>21</v>
      </c>
      <c r="C212" s="4" t="s">
        <v>156</v>
      </c>
      <c r="D212" s="4" t="s">
        <v>163</v>
      </c>
      <c r="E212" s="4" t="s">
        <v>140</v>
      </c>
      <c r="F212" s="4" t="n">
        <v>1</v>
      </c>
      <c r="G212" s="4" t="s">
        <v>140</v>
      </c>
      <c r="H212" s="5" t="n">
        <v>0.79472</v>
      </c>
      <c r="I212" s="4" t="s">
        <v>165</v>
      </c>
      <c r="J212" s="4" t="s">
        <v>139</v>
      </c>
      <c r="K212" s="5" t="n">
        <v>0.79472</v>
      </c>
      <c r="L212" s="4" t="n">
        <f aca="false">IF(G212=$E212,1,0)</f>
        <v>1</v>
      </c>
      <c r="M212" s="4" t="n">
        <f aca="false">IF(OR(G212=$E212,I212=$E212,J212=$E212),1,0)</f>
        <v>1</v>
      </c>
      <c r="N212" s="4" t="n">
        <v>2</v>
      </c>
      <c r="O212" s="9" t="n">
        <f aca="false">-LN(MAX(K212,0.0001))</f>
        <v>0.229765427623097</v>
      </c>
      <c r="P212" s="4" t="s">
        <v>116</v>
      </c>
      <c r="Q212" s="5" t="n">
        <v>0.28362</v>
      </c>
      <c r="R212" s="4" t="s">
        <v>140</v>
      </c>
      <c r="S212" s="4" t="s">
        <v>161</v>
      </c>
      <c r="T212" s="5" t="n">
        <v>0.24134</v>
      </c>
      <c r="U212" s="4" t="n">
        <f aca="false">IF(P212=$E212,1,0)</f>
        <v>0</v>
      </c>
      <c r="V212" s="4" t="n">
        <f aca="false">IF(OR(P212=$E212,R212=$E212,S212=$E212),1,0)</f>
        <v>1</v>
      </c>
      <c r="W212" s="4" t="n">
        <v>2</v>
      </c>
      <c r="X212" s="9" t="n">
        <f aca="false">-LN(MAX(T212,0.0001))</f>
        <v>1.42154855133668</v>
      </c>
      <c r="Y212" s="4" t="s">
        <v>140</v>
      </c>
      <c r="Z212" s="5" t="n">
        <v>0.56018</v>
      </c>
      <c r="AA212" s="4" t="s">
        <v>165</v>
      </c>
      <c r="AB212" s="4" t="s">
        <v>139</v>
      </c>
      <c r="AC212" s="5" t="n">
        <v>0.56018</v>
      </c>
      <c r="AD212" s="4" t="n">
        <f aca="false">IF(Y212=$E212,1,0)</f>
        <v>1</v>
      </c>
      <c r="AE212" s="4" t="n">
        <f aca="false">IF(OR(Y212=$E212,AA212=$E212,AB212=$E212),1,0)</f>
        <v>1</v>
      </c>
      <c r="AF212" s="4" t="n">
        <v>2</v>
      </c>
      <c r="AG212" s="9" t="n">
        <f aca="false">-LN(MAX(AC212,0.0001))</f>
        <v>0.57949711832861</v>
      </c>
    </row>
    <row r="213" customFormat="false" ht="15" hidden="false" customHeight="false" outlineLevel="0" collapsed="false">
      <c r="A213" s="4" t="n">
        <v>2025</v>
      </c>
      <c r="B213" s="4" t="n">
        <v>22</v>
      </c>
      <c r="C213" s="4" t="s">
        <v>162</v>
      </c>
      <c r="D213" s="4" t="s">
        <v>163</v>
      </c>
      <c r="E213" s="4" t="s">
        <v>116</v>
      </c>
      <c r="F213" s="4" t="n">
        <v>2</v>
      </c>
      <c r="G213" s="4" t="s">
        <v>140</v>
      </c>
      <c r="H213" s="5" t="n">
        <v>0.57854</v>
      </c>
      <c r="I213" s="4" t="s">
        <v>116</v>
      </c>
      <c r="J213" s="4" t="s">
        <v>152</v>
      </c>
      <c r="K213" s="5" t="n">
        <v>0.2774</v>
      </c>
      <c r="L213" s="4" t="n">
        <f aca="false">IF(G213=$E213,1,0)</f>
        <v>0</v>
      </c>
      <c r="M213" s="4" t="n">
        <f aca="false">IF(OR(G213=$E213,I213=$E213,J213=$E213),1,0)</f>
        <v>1</v>
      </c>
      <c r="N213" s="4" t="n">
        <v>2</v>
      </c>
      <c r="O213" s="9" t="n">
        <f aca="false">-LN(MAX(K213,0.0001))</f>
        <v>1.28229477110141</v>
      </c>
      <c r="P213" s="4" t="s">
        <v>140</v>
      </c>
      <c r="Q213" s="5" t="n">
        <v>0.27894</v>
      </c>
      <c r="R213" s="4" t="s">
        <v>116</v>
      </c>
      <c r="S213" s="4" t="s">
        <v>161</v>
      </c>
      <c r="T213" s="5" t="n">
        <v>0.27614</v>
      </c>
      <c r="U213" s="4" t="n">
        <f aca="false">IF(P213=$E213,1,0)</f>
        <v>0</v>
      </c>
      <c r="V213" s="4" t="n">
        <f aca="false">IF(OR(P213=$E213,R213=$E213,S213=$E213),1,0)</f>
        <v>1</v>
      </c>
      <c r="W213" s="4" t="n">
        <v>1</v>
      </c>
      <c r="X213" s="9" t="n">
        <f aca="false">-LN(MAX(T213,0.0001))</f>
        <v>1.28684729549413</v>
      </c>
      <c r="Y213" s="4" t="s">
        <v>140</v>
      </c>
      <c r="Z213" s="5" t="n">
        <v>0.54722</v>
      </c>
      <c r="AA213" s="4" t="s">
        <v>116</v>
      </c>
      <c r="AB213" s="4" t="s">
        <v>142</v>
      </c>
      <c r="AC213" s="5" t="n">
        <v>0.20068</v>
      </c>
      <c r="AD213" s="4" t="n">
        <f aca="false">IF(Y213=$E213,1,0)</f>
        <v>0</v>
      </c>
      <c r="AE213" s="4" t="n">
        <f aca="false">IF(OR(Y213=$E213,AA213=$E213,AB213=$E213),1,0)</f>
        <v>1</v>
      </c>
      <c r="AF213" s="4" t="n">
        <v>1</v>
      </c>
      <c r="AG213" s="9" t="n">
        <f aca="false">-LN(MAX(AC213,0.0001))</f>
        <v>1.60604367936608</v>
      </c>
    </row>
    <row r="214" customFormat="false" ht="15" hidden="false" customHeight="false" outlineLevel="0" collapsed="false">
      <c r="A214" s="4" t="n">
        <v>2025</v>
      </c>
      <c r="B214" s="4" t="n">
        <v>23</v>
      </c>
      <c r="C214" s="4" t="s">
        <v>157</v>
      </c>
      <c r="D214" s="4" t="s">
        <v>163</v>
      </c>
      <c r="E214" s="4" t="s">
        <v>116</v>
      </c>
      <c r="F214" s="4" t="n">
        <v>3</v>
      </c>
      <c r="G214" s="4" t="s">
        <v>161</v>
      </c>
      <c r="H214" s="5" t="n">
        <v>0.61008</v>
      </c>
      <c r="I214" s="4" t="s">
        <v>140</v>
      </c>
      <c r="J214" s="4" t="s">
        <v>116</v>
      </c>
      <c r="K214" s="5" t="n">
        <v>0.07808</v>
      </c>
      <c r="L214" s="4" t="n">
        <f aca="false">IF(G214=$E214,1,0)</f>
        <v>0</v>
      </c>
      <c r="M214" s="4" t="n">
        <f aca="false">IF(OR(G214=$E214,I214=$E214,J214=$E214),1,0)</f>
        <v>1</v>
      </c>
      <c r="N214" s="4" t="n">
        <v>2</v>
      </c>
      <c r="O214" s="9" t="n">
        <f aca="false">-LN(MAX(K214,0.0001))</f>
        <v>2.5500213368773</v>
      </c>
      <c r="P214" s="4" t="s">
        <v>140</v>
      </c>
      <c r="Q214" s="5" t="n">
        <v>0.30046</v>
      </c>
      <c r="R214" s="4" t="s">
        <v>161</v>
      </c>
      <c r="S214" s="4" t="s">
        <v>116</v>
      </c>
      <c r="T214" s="5" t="n">
        <v>0.25136</v>
      </c>
      <c r="U214" s="4" t="n">
        <f aca="false">IF(P214=$E214,1,0)</f>
        <v>0</v>
      </c>
      <c r="V214" s="4" t="n">
        <f aca="false">IF(OR(P214=$E214,R214=$E214,S214=$E214),1,0)</f>
        <v>1</v>
      </c>
      <c r="W214" s="4" t="n">
        <v>2</v>
      </c>
      <c r="X214" s="9" t="n">
        <f aca="false">-LN(MAX(T214,0.0001))</f>
        <v>1.38086910447483</v>
      </c>
      <c r="Y214" s="4" t="s">
        <v>161</v>
      </c>
      <c r="Z214" s="5" t="n">
        <v>0.52536</v>
      </c>
      <c r="AA214" s="4" t="s">
        <v>140</v>
      </c>
      <c r="AB214" s="4" t="s">
        <v>116</v>
      </c>
      <c r="AC214" s="5" t="n">
        <v>0.09456</v>
      </c>
      <c r="AD214" s="4" t="n">
        <f aca="false">IF(Y214=$E214,1,0)</f>
        <v>0</v>
      </c>
      <c r="AE214" s="4" t="n">
        <f aca="false">IF(OR(Y214=$E214,AA214=$E214,AB214=$E214),1,0)</f>
        <v>1</v>
      </c>
      <c r="AF214" s="4" t="n">
        <v>2</v>
      </c>
      <c r="AG214" s="9" t="n">
        <f aca="false">-LN(MAX(AC214,0.0001))</f>
        <v>2.35852072532435</v>
      </c>
    </row>
    <row r="215" customFormat="false" ht="15" hidden="false" customHeight="false" outlineLevel="0" collapsed="false">
      <c r="A215" s="4" t="n">
        <v>2025</v>
      </c>
      <c r="B215" s="4" t="n">
        <v>24</v>
      </c>
      <c r="C215" s="4" t="s">
        <v>134</v>
      </c>
      <c r="D215" s="4" t="s">
        <v>163</v>
      </c>
      <c r="E215" s="4" t="s">
        <v>116</v>
      </c>
      <c r="F215" s="4" t="n">
        <v>1</v>
      </c>
      <c r="G215" s="4" t="s">
        <v>116</v>
      </c>
      <c r="H215" s="5" t="n">
        <v>0.53564</v>
      </c>
      <c r="I215" s="4" t="s">
        <v>140</v>
      </c>
      <c r="J215" s="4" t="s">
        <v>161</v>
      </c>
      <c r="K215" s="5" t="n">
        <v>0.53564</v>
      </c>
      <c r="L215" s="4" t="n">
        <f aca="false">IF(G215=$E215,1,0)</f>
        <v>1</v>
      </c>
      <c r="M215" s="4" t="n">
        <f aca="false">IF(OR(G215=$E215,I215=$E215,J215=$E215),1,0)</f>
        <v>1</v>
      </c>
      <c r="N215" s="4" t="n">
        <v>3</v>
      </c>
      <c r="O215" s="9" t="n">
        <f aca="false">-LN(MAX(K215,0.0001))</f>
        <v>0.624292985354772</v>
      </c>
      <c r="P215" s="4" t="s">
        <v>116</v>
      </c>
      <c r="Q215" s="5" t="n">
        <v>0.30544</v>
      </c>
      <c r="R215" s="4" t="s">
        <v>161</v>
      </c>
      <c r="S215" s="4" t="s">
        <v>140</v>
      </c>
      <c r="T215" s="5" t="n">
        <v>0.30544</v>
      </c>
      <c r="U215" s="4" t="n">
        <f aca="false">IF(P215=$E215,1,0)</f>
        <v>1</v>
      </c>
      <c r="V215" s="4" t="n">
        <f aca="false">IF(OR(P215=$E215,R215=$E215,S215=$E215),1,0)</f>
        <v>1</v>
      </c>
      <c r="W215" s="4" t="n">
        <v>3</v>
      </c>
      <c r="X215" s="9" t="n">
        <f aca="false">-LN(MAX(T215,0.0001))</f>
        <v>1.1860019190047</v>
      </c>
      <c r="Y215" s="4" t="s">
        <v>116</v>
      </c>
      <c r="Z215" s="5" t="n">
        <v>0.5557</v>
      </c>
      <c r="AA215" s="4" t="s">
        <v>140</v>
      </c>
      <c r="AB215" s="4" t="s">
        <v>161</v>
      </c>
      <c r="AC215" s="5" t="n">
        <v>0.5557</v>
      </c>
      <c r="AD215" s="4" t="n">
        <f aca="false">IF(Y215=$E215,1,0)</f>
        <v>1</v>
      </c>
      <c r="AE215" s="4" t="n">
        <f aca="false">IF(OR(Y215=$E215,AA215=$E215,AB215=$E215),1,0)</f>
        <v>1</v>
      </c>
      <c r="AF215" s="4" t="n">
        <v>3</v>
      </c>
      <c r="AG215" s="9" t="n">
        <f aca="false">-LN(MAX(AC215,0.0001))</f>
        <v>0.587526698696262</v>
      </c>
    </row>
    <row r="216" customFormat="false" ht="15" hidden="false" customHeight="false" outlineLevel="0" collapsed="false">
      <c r="A216" s="4" t="n">
        <v>2026</v>
      </c>
      <c r="B216" s="4" t="n">
        <v>1</v>
      </c>
      <c r="C216" s="4" t="s">
        <v>104</v>
      </c>
      <c r="D216" s="4" t="s">
        <v>163</v>
      </c>
      <c r="E216" s="4" t="s">
        <v>152</v>
      </c>
      <c r="F216" s="4" t="n">
        <v>1</v>
      </c>
      <c r="G216" s="4" t="s">
        <v>152</v>
      </c>
      <c r="H216" s="5" t="n">
        <v>0.47052</v>
      </c>
      <c r="I216" s="4" t="s">
        <v>165</v>
      </c>
      <c r="J216" s="4" t="s">
        <v>167</v>
      </c>
      <c r="K216" s="5" t="n">
        <v>0.47052</v>
      </c>
      <c r="L216" s="4" t="n">
        <f aca="false">IF(G216=$E216,1,0)</f>
        <v>1</v>
      </c>
      <c r="M216" s="4" t="n">
        <f aca="false">IF(OR(G216=$E216,I216=$E216,J216=$E216),1,0)</f>
        <v>1</v>
      </c>
      <c r="N216" s="4" t="n">
        <v>2</v>
      </c>
      <c r="O216" s="9" t="n">
        <f aca="false">-LN(MAX(K216,0.0001))</f>
        <v>0.753916812889897</v>
      </c>
      <c r="P216" s="4" t="s">
        <v>116</v>
      </c>
      <c r="Q216" s="5" t="n">
        <v>0.26384</v>
      </c>
      <c r="R216" s="4" t="s">
        <v>161</v>
      </c>
      <c r="S216" s="4" t="s">
        <v>140</v>
      </c>
      <c r="T216" s="5" t="n">
        <v>0.10112</v>
      </c>
      <c r="U216" s="4" t="n">
        <f aca="false">IF(P216=$E216,1,0)</f>
        <v>0</v>
      </c>
      <c r="V216" s="4" t="n">
        <f aca="false">IF(OR(P216=$E216,R216=$E216,S216=$E216),1,0)</f>
        <v>0</v>
      </c>
      <c r="W216" s="4" t="n">
        <v>0</v>
      </c>
      <c r="X216" s="9" t="n">
        <f aca="false">-LN(MAX(T216,0.0001))</f>
        <v>2.29144734858359</v>
      </c>
      <c r="Y216" s="4" t="s">
        <v>152</v>
      </c>
      <c r="Z216" s="5" t="n">
        <v>0.5349</v>
      </c>
      <c r="AA216" s="4" t="s">
        <v>165</v>
      </c>
      <c r="AB216" s="4" t="s">
        <v>167</v>
      </c>
      <c r="AC216" s="5" t="n">
        <v>0.5349</v>
      </c>
      <c r="AD216" s="4" t="n">
        <f aca="false">IF(Y216=$E216,1,0)</f>
        <v>1</v>
      </c>
      <c r="AE216" s="4" t="n">
        <f aca="false">IF(OR(Y216=$E216,AA216=$E216,AB216=$E216),1,0)</f>
        <v>1</v>
      </c>
      <c r="AF216" s="4" t="n">
        <v>2</v>
      </c>
      <c r="AG216" s="9" t="n">
        <f aca="false">-LN(MAX(AC216,0.0001))</f>
        <v>0.625675465444933</v>
      </c>
    </row>
    <row r="217" customFormat="false" ht="15" hidden="false" customHeight="false" outlineLevel="0" collapsed="false">
      <c r="A217" s="4" t="n">
        <v>2026</v>
      </c>
      <c r="B217" s="4" t="n">
        <v>2</v>
      </c>
      <c r="C217" s="4" t="s">
        <v>110</v>
      </c>
      <c r="D217" s="4" t="s">
        <v>163</v>
      </c>
      <c r="E217" s="4" t="s">
        <v>165</v>
      </c>
      <c r="F217" s="4" t="n">
        <v>1</v>
      </c>
      <c r="G217" s="4" t="s">
        <v>152</v>
      </c>
      <c r="H217" s="5" t="n">
        <v>0.4433</v>
      </c>
      <c r="I217" s="4" t="s">
        <v>165</v>
      </c>
      <c r="J217" s="4" t="s">
        <v>116</v>
      </c>
      <c r="K217" s="5" t="n">
        <v>0.30786</v>
      </c>
      <c r="L217" s="4" t="n">
        <f aca="false">IF(G217=$E217,1,0)</f>
        <v>0</v>
      </c>
      <c r="M217" s="4" t="n">
        <f aca="false">IF(OR(G217=$E217,I217=$E217,J217=$E217),1,0)</f>
        <v>1</v>
      </c>
      <c r="N217" s="4" t="n">
        <v>2</v>
      </c>
      <c r="O217" s="9" t="n">
        <f aca="false">-LN(MAX(K217,0.0001))</f>
        <v>1.17811014480021</v>
      </c>
      <c r="P217" s="4" t="s">
        <v>116</v>
      </c>
      <c r="Q217" s="5" t="n">
        <v>0.38234</v>
      </c>
      <c r="R217" s="4" t="s">
        <v>140</v>
      </c>
      <c r="S217" s="4" t="s">
        <v>152</v>
      </c>
      <c r="T217" s="5" t="n">
        <v>0.04362</v>
      </c>
      <c r="U217" s="4" t="n">
        <f aca="false">IF(P217=$E217,1,0)</f>
        <v>0</v>
      </c>
      <c r="V217" s="4" t="n">
        <f aca="false">IF(OR(P217=$E217,R217=$E217,S217=$E217),1,0)</f>
        <v>0</v>
      </c>
      <c r="W217" s="4" t="n">
        <v>1</v>
      </c>
      <c r="X217" s="9" t="n">
        <f aca="false">-LN(MAX(T217,0.0001))</f>
        <v>3.13223951820865</v>
      </c>
      <c r="Y217" s="4" t="s">
        <v>165</v>
      </c>
      <c r="Z217" s="5" t="n">
        <v>0.53714</v>
      </c>
      <c r="AA217" s="4" t="s">
        <v>152</v>
      </c>
      <c r="AB217" s="4" t="s">
        <v>107</v>
      </c>
      <c r="AC217" s="5" t="n">
        <v>0.53714</v>
      </c>
      <c r="AD217" s="4" t="n">
        <f aca="false">IF(Y217=$E217,1,0)</f>
        <v>1</v>
      </c>
      <c r="AE217" s="4" t="n">
        <f aca="false">IF(OR(Y217=$E217,AA217=$E217,AB217=$E217),1,0)</f>
        <v>1</v>
      </c>
      <c r="AF217" s="4" t="n">
        <v>3</v>
      </c>
      <c r="AG217" s="9" t="n">
        <f aca="false">-LN(MAX(AC217,0.0001))</f>
        <v>0.621496510816593</v>
      </c>
    </row>
    <row r="218" customFormat="false" ht="15" hidden="false" customHeight="false" outlineLevel="0" collapsed="false">
      <c r="A218" s="4" t="n">
        <v>2026</v>
      </c>
      <c r="B218" s="4" t="n">
        <v>3</v>
      </c>
      <c r="C218" s="4" t="s">
        <v>130</v>
      </c>
      <c r="D218" s="4" t="s">
        <v>163</v>
      </c>
      <c r="E218" s="4" t="s">
        <v>165</v>
      </c>
      <c r="F218" s="4" t="n">
        <v>1</v>
      </c>
      <c r="G218" s="4" t="s">
        <v>165</v>
      </c>
      <c r="H218" s="5" t="n">
        <v>0.58718</v>
      </c>
      <c r="I218" s="4" t="s">
        <v>152</v>
      </c>
      <c r="J218" s="4" t="s">
        <v>139</v>
      </c>
      <c r="K218" s="5" t="n">
        <v>0.58718</v>
      </c>
      <c r="L218" s="4" t="n">
        <f aca="false">IF(G218=$E218,1,0)</f>
        <v>1</v>
      </c>
      <c r="M218" s="4" t="n">
        <f aca="false">IF(OR(G218=$E218,I218=$E218,J218=$E218),1,0)</f>
        <v>1</v>
      </c>
      <c r="N218" s="4" t="n">
        <v>2</v>
      </c>
      <c r="O218" s="9" t="n">
        <f aca="false">-LN(MAX(K218,0.0001))</f>
        <v>0.532423862207388</v>
      </c>
      <c r="P218" s="4" t="s">
        <v>152</v>
      </c>
      <c r="Q218" s="5" t="n">
        <v>0.2357</v>
      </c>
      <c r="R218" s="4" t="s">
        <v>116</v>
      </c>
      <c r="S218" s="4" t="s">
        <v>140</v>
      </c>
      <c r="T218" s="5" t="n">
        <v>0.07824</v>
      </c>
      <c r="U218" s="4" t="n">
        <f aca="false">IF(P218=$E218,1,0)</f>
        <v>0</v>
      </c>
      <c r="V218" s="4" t="n">
        <f aca="false">IF(OR(P218=$E218,R218=$E218,S218=$E218),1,0)</f>
        <v>0</v>
      </c>
      <c r="W218" s="4" t="n">
        <v>0</v>
      </c>
      <c r="X218" s="9" t="n">
        <f aca="false">-LN(MAX(T218,0.0001))</f>
        <v>2.54797425325558</v>
      </c>
      <c r="Y218" s="4" t="s">
        <v>165</v>
      </c>
      <c r="Z218" s="5" t="n">
        <v>0.5541</v>
      </c>
      <c r="AA218" s="4" t="s">
        <v>152</v>
      </c>
      <c r="AB218" s="4" t="s">
        <v>161</v>
      </c>
      <c r="AC218" s="5" t="n">
        <v>0.5541</v>
      </c>
      <c r="AD218" s="4" t="n">
        <f aca="false">IF(Y218=$E218,1,0)</f>
        <v>1</v>
      </c>
      <c r="AE218" s="4" t="n">
        <f aca="false">IF(OR(Y218=$E218,AA218=$E218,AB218=$E218),1,0)</f>
        <v>1</v>
      </c>
      <c r="AF218" s="4" t="n">
        <v>2</v>
      </c>
      <c r="AG218" s="9" t="n">
        <f aca="false">-LN(MAX(AC218,0.0001))</f>
        <v>0.590410103108833</v>
      </c>
    </row>
    <row r="219" customFormat="false" ht="15" hidden="false" customHeight="false" outlineLevel="0" collapsed="false">
      <c r="A219" s="4" t="n">
        <v>2026</v>
      </c>
      <c r="B219" s="4" t="n">
        <v>4</v>
      </c>
      <c r="C219" s="4" t="s">
        <v>160</v>
      </c>
      <c r="D219" s="4" t="s">
        <v>163</v>
      </c>
      <c r="E219" s="4" t="s">
        <v>165</v>
      </c>
      <c r="F219" s="4" t="n">
        <v>1</v>
      </c>
      <c r="G219" s="4" t="s">
        <v>165</v>
      </c>
      <c r="H219" s="5" t="n">
        <v>0.5197</v>
      </c>
      <c r="I219" s="4" t="s">
        <v>140</v>
      </c>
      <c r="J219" s="4" t="s">
        <v>139</v>
      </c>
      <c r="K219" s="5" t="n">
        <v>0.5197</v>
      </c>
      <c r="L219" s="4" t="n">
        <f aca="false">IF(G219=$E219,1,0)</f>
        <v>1</v>
      </c>
      <c r="M219" s="4" t="n">
        <f aca="false">IF(OR(G219=$E219,I219=$E219,J219=$E219),1,0)</f>
        <v>1</v>
      </c>
      <c r="N219" s="4" t="n">
        <v>2</v>
      </c>
      <c r="O219" s="9" t="n">
        <f aca="false">-LN(MAX(K219,0.0001))</f>
        <v>0.654503556967741</v>
      </c>
      <c r="P219" s="4" t="s">
        <v>152</v>
      </c>
      <c r="Q219" s="5" t="n">
        <v>0.2317</v>
      </c>
      <c r="R219" s="4" t="s">
        <v>161</v>
      </c>
      <c r="S219" s="4" t="s">
        <v>116</v>
      </c>
      <c r="T219" s="5" t="n">
        <v>0.09758</v>
      </c>
      <c r="U219" s="4" t="n">
        <f aca="false">IF(P219=$E219,1,0)</f>
        <v>0</v>
      </c>
      <c r="V219" s="4" t="n">
        <f aca="false">IF(OR(P219=$E219,R219=$E219,S219=$E219),1,0)</f>
        <v>0</v>
      </c>
      <c r="W219" s="4" t="n">
        <v>1</v>
      </c>
      <c r="X219" s="9" t="n">
        <f aca="false">-LN(MAX(T219,0.0001))</f>
        <v>2.32708272459445</v>
      </c>
      <c r="Y219" s="4" t="s">
        <v>165</v>
      </c>
      <c r="Z219" s="5" t="n">
        <v>0.56524</v>
      </c>
      <c r="AA219" s="4" t="s">
        <v>116</v>
      </c>
      <c r="AB219" s="4" t="s">
        <v>139</v>
      </c>
      <c r="AC219" s="5" t="n">
        <v>0.56524</v>
      </c>
      <c r="AD219" s="4" t="n">
        <f aca="false">IF(Y219=$E219,1,0)</f>
        <v>1</v>
      </c>
      <c r="AE219" s="4" t="n">
        <f aca="false">IF(OR(Y219=$E219,AA219=$E219,AB219=$E219),1,0)</f>
        <v>1</v>
      </c>
      <c r="AF219" s="4" t="n">
        <v>1</v>
      </c>
      <c r="AG219" s="9" t="n">
        <f aca="false">-LN(MAX(AC219,0.0001))</f>
        <v>0.570504859267592</v>
      </c>
    </row>
    <row r="220" customFormat="false" ht="15" hidden="false" customHeight="false" outlineLevel="0" collapsed="false">
      <c r="A220" s="4" t="n">
        <v>2026</v>
      </c>
      <c r="B220" s="4" t="n">
        <v>5</v>
      </c>
      <c r="C220" s="4" t="s">
        <v>118</v>
      </c>
      <c r="D220" s="4" t="s">
        <v>163</v>
      </c>
      <c r="E220" s="4" t="s">
        <v>165</v>
      </c>
      <c r="F220" s="4" t="n">
        <v>2</v>
      </c>
      <c r="G220" s="4" t="s">
        <v>152</v>
      </c>
      <c r="H220" s="5" t="n">
        <v>0.6322</v>
      </c>
      <c r="I220" s="4" t="s">
        <v>165</v>
      </c>
      <c r="J220" s="4" t="s">
        <v>140</v>
      </c>
      <c r="K220" s="5" t="n">
        <v>0.20004</v>
      </c>
      <c r="L220" s="4" t="n">
        <f aca="false">IF(G220=$E220,1,0)</f>
        <v>0</v>
      </c>
      <c r="M220" s="4" t="n">
        <f aca="false">IF(OR(G220=$E220,I220=$E220,J220=$E220),1,0)</f>
        <v>1</v>
      </c>
      <c r="N220" s="4" t="n">
        <v>1</v>
      </c>
      <c r="O220" s="9" t="n">
        <f aca="false">-LN(MAX(K220,0.0001))</f>
        <v>1.60923793243143</v>
      </c>
      <c r="P220" s="4" t="s">
        <v>152</v>
      </c>
      <c r="Q220" s="5" t="n">
        <v>0.21074</v>
      </c>
      <c r="R220" s="4" t="s">
        <v>161</v>
      </c>
      <c r="S220" s="4" t="s">
        <v>116</v>
      </c>
      <c r="T220" s="5" t="n">
        <v>0.11056</v>
      </c>
      <c r="U220" s="4" t="n">
        <f aca="false">IF(P220=$E220,1,0)</f>
        <v>0</v>
      </c>
      <c r="V220" s="4" t="n">
        <f aca="false">IF(OR(P220=$E220,R220=$E220,S220=$E220),1,0)</f>
        <v>0</v>
      </c>
      <c r="W220" s="4" t="n">
        <v>1</v>
      </c>
      <c r="X220" s="9" t="n">
        <f aca="false">-LN(MAX(T220,0.0001))</f>
        <v>2.20219691896278</v>
      </c>
      <c r="Y220" s="4" t="s">
        <v>152</v>
      </c>
      <c r="Z220" s="5" t="n">
        <v>0.56042</v>
      </c>
      <c r="AA220" s="4" t="s">
        <v>165</v>
      </c>
      <c r="AB220" s="4" t="s">
        <v>140</v>
      </c>
      <c r="AC220" s="5" t="n">
        <v>0.19962</v>
      </c>
      <c r="AD220" s="4" t="n">
        <f aca="false">IF(Y220=$E220,1,0)</f>
        <v>0</v>
      </c>
      <c r="AE220" s="4" t="n">
        <f aca="false">IF(OR(Y220=$E220,AA220=$E220,AB220=$E220),1,0)</f>
        <v>1</v>
      </c>
      <c r="AF220" s="4" t="n">
        <v>1</v>
      </c>
      <c r="AG220" s="9" t="n">
        <f aca="false">-LN(MAX(AC220,0.0001))</f>
        <v>1.6113397197237</v>
      </c>
    </row>
    <row r="221" customFormat="false" ht="15" hidden="false" customHeight="false" outlineLevel="0" collapsed="false">
      <c r="A221" s="4" t="n">
        <v>2026</v>
      </c>
      <c r="B221" s="4" t="n">
        <v>6</v>
      </c>
      <c r="C221" s="4" t="s">
        <v>117</v>
      </c>
      <c r="D221" s="4" t="s">
        <v>163</v>
      </c>
      <c r="E221" s="4" t="s">
        <v>165</v>
      </c>
      <c r="F221" s="4" t="n">
        <v>1</v>
      </c>
      <c r="G221" s="4" t="s">
        <v>165</v>
      </c>
      <c r="H221" s="5" t="n">
        <v>0.70236</v>
      </c>
      <c r="I221" s="4" t="s">
        <v>116</v>
      </c>
      <c r="J221" s="4" t="s">
        <v>107</v>
      </c>
      <c r="K221" s="5" t="n">
        <v>0.70236</v>
      </c>
      <c r="L221" s="4" t="n">
        <f aca="false">IF(G221=$E221,1,0)</f>
        <v>1</v>
      </c>
      <c r="M221" s="4" t="n">
        <f aca="false">IF(OR(G221=$E221,I221=$E221,J221=$E221),1,0)</f>
        <v>1</v>
      </c>
      <c r="N221" s="4" t="n">
        <v>2</v>
      </c>
      <c r="O221" s="9" t="n">
        <f aca="false">-LN(MAX(K221,0.0001))</f>
        <v>0.353309185891007</v>
      </c>
      <c r="P221" s="4" t="s">
        <v>116</v>
      </c>
      <c r="Q221" s="5" t="n">
        <v>0.20278</v>
      </c>
      <c r="R221" s="4" t="s">
        <v>165</v>
      </c>
      <c r="S221" s="4" t="s">
        <v>152</v>
      </c>
      <c r="T221" s="5" t="n">
        <v>0.18202</v>
      </c>
      <c r="U221" s="4" t="n">
        <f aca="false">IF(P221=$E221,1,0)</f>
        <v>0</v>
      </c>
      <c r="V221" s="4" t="n">
        <f aca="false">IF(OR(P221=$E221,R221=$E221,S221=$E221),1,0)</f>
        <v>1</v>
      </c>
      <c r="W221" s="4" t="n">
        <v>1</v>
      </c>
      <c r="X221" s="9" t="n">
        <f aca="false">-LN(MAX(T221,0.0001))</f>
        <v>1.70363870783293</v>
      </c>
      <c r="Y221" s="4" t="s">
        <v>165</v>
      </c>
      <c r="Z221" s="5" t="n">
        <v>0.55666</v>
      </c>
      <c r="AA221" s="4" t="s">
        <v>116</v>
      </c>
      <c r="AB221" s="4" t="s">
        <v>107</v>
      </c>
      <c r="AC221" s="5" t="n">
        <v>0.55666</v>
      </c>
      <c r="AD221" s="4" t="n">
        <f aca="false">IF(Y221=$E221,1,0)</f>
        <v>1</v>
      </c>
      <c r="AE221" s="4" t="n">
        <f aca="false">IF(OR(Y221=$E221,AA221=$E221,AB221=$E221),1,0)</f>
        <v>1</v>
      </c>
      <c r="AF221" s="4" t="n">
        <v>2</v>
      </c>
      <c r="AG221" s="9" t="n">
        <f aca="false">-LN(MAX(AC221,0.0001))</f>
        <v>0.585800638359064</v>
      </c>
    </row>
    <row r="222" customFormat="false" ht="15" hidden="false" customHeight="false" outlineLevel="0" collapsed="false">
      <c r="A222" s="4" t="n">
        <v>2026</v>
      </c>
      <c r="B222" s="4" t="n">
        <v>7</v>
      </c>
      <c r="C222" s="4" t="s">
        <v>168</v>
      </c>
      <c r="D222" s="4" t="s">
        <v>163</v>
      </c>
      <c r="E222" s="4" t="s">
        <v>107</v>
      </c>
      <c r="F222" s="4" t="n">
        <v>2</v>
      </c>
      <c r="G222" s="4" t="s">
        <v>107</v>
      </c>
      <c r="H222" s="5" t="n">
        <v>0.30994</v>
      </c>
      <c r="I222" s="4" t="s">
        <v>165</v>
      </c>
      <c r="J222" s="4" t="s">
        <v>152</v>
      </c>
      <c r="K222" s="5" t="n">
        <v>0.30994</v>
      </c>
      <c r="L222" s="4" t="n">
        <f aca="false">IF(G222=$E222,1,0)</f>
        <v>1</v>
      </c>
      <c r="M222" s="4" t="n">
        <f aca="false">IF(OR(G222=$E222,I222=$E222,J222=$E222),1,0)</f>
        <v>1</v>
      </c>
      <c r="N222" s="4" t="n">
        <v>2</v>
      </c>
      <c r="O222" s="9" t="n">
        <f aca="false">-LN(MAX(K222,0.0001))</f>
        <v>1.17137654862295</v>
      </c>
      <c r="P222" s="4" t="s">
        <v>165</v>
      </c>
      <c r="Q222" s="5" t="n">
        <v>0.21924</v>
      </c>
      <c r="R222" s="4" t="s">
        <v>116</v>
      </c>
      <c r="S222" s="4" t="s">
        <v>161</v>
      </c>
      <c r="T222" s="5" t="n">
        <v>0.11492</v>
      </c>
      <c r="U222" s="4" t="n">
        <f aca="false">IF(P222=$E222,1,0)</f>
        <v>0</v>
      </c>
      <c r="V222" s="4" t="n">
        <f aca="false">IF(OR(P222=$E222,R222=$E222,S222=$E222),1,0)</f>
        <v>0</v>
      </c>
      <c r="W222" s="4" t="n">
        <v>1</v>
      </c>
      <c r="X222" s="9" t="n">
        <f aca="false">-LN(MAX(T222,0.0001))</f>
        <v>2.16351904487105</v>
      </c>
      <c r="Y222" s="4" t="s">
        <v>152</v>
      </c>
      <c r="Z222" s="5" t="n">
        <v>0.55382</v>
      </c>
      <c r="AA222" s="4" t="s">
        <v>107</v>
      </c>
      <c r="AB222" s="4" t="s">
        <v>165</v>
      </c>
      <c r="AC222" s="5" t="n">
        <v>0.18776</v>
      </c>
      <c r="AD222" s="4" t="n">
        <f aca="false">IF(Y222=$E222,1,0)</f>
        <v>0</v>
      </c>
      <c r="AE222" s="4" t="n">
        <f aca="false">IF(OR(Y222=$E222,AA222=$E222,AB222=$E222),1,0)</f>
        <v>1</v>
      </c>
      <c r="AF222" s="4" t="n">
        <v>2</v>
      </c>
      <c r="AG222" s="9" t="n">
        <f aca="false">-LN(MAX(AC222,0.0001))</f>
        <v>1.67259072743937</v>
      </c>
    </row>
    <row r="223" customFormat="false" ht="15" hidden="false" customHeight="false" outlineLevel="0" collapsed="false">
      <c r="A223" s="4" t="n">
        <v>2026</v>
      </c>
      <c r="B223" s="4" t="n">
        <v>8</v>
      </c>
      <c r="C223" s="4" t="s">
        <v>120</v>
      </c>
      <c r="D223" s="4" t="s">
        <v>163</v>
      </c>
      <c r="E223" s="4" t="s">
        <v>152</v>
      </c>
      <c r="F223" s="4" t="n">
        <v>1</v>
      </c>
      <c r="G223" s="4" t="s">
        <v>152</v>
      </c>
      <c r="H223" s="5" t="n">
        <v>0.3868</v>
      </c>
      <c r="I223" s="4" t="s">
        <v>107</v>
      </c>
      <c r="J223" s="4" t="s">
        <v>139</v>
      </c>
      <c r="K223" s="5" t="n">
        <v>0.3868</v>
      </c>
      <c r="L223" s="4" t="n">
        <f aca="false">IF(G223=$E223,1,0)</f>
        <v>1</v>
      </c>
      <c r="M223" s="4" t="n">
        <f aca="false">IF(OR(G223=$E223,I223=$E223,J223=$E223),1,0)</f>
        <v>1</v>
      </c>
      <c r="N223" s="4" t="n">
        <v>1</v>
      </c>
      <c r="O223" s="9" t="n">
        <f aca="false">-LN(MAX(K223,0.0001))</f>
        <v>0.949847515402998</v>
      </c>
      <c r="P223" s="4" t="s">
        <v>152</v>
      </c>
      <c r="Q223" s="5" t="n">
        <v>0.19044</v>
      </c>
      <c r="R223" s="4" t="s">
        <v>116</v>
      </c>
      <c r="S223" s="4" t="s">
        <v>107</v>
      </c>
      <c r="T223" s="5" t="n">
        <v>0.19044</v>
      </c>
      <c r="U223" s="4" t="n">
        <f aca="false">IF(P223=$E223,1,0)</f>
        <v>1</v>
      </c>
      <c r="V223" s="4" t="n">
        <f aca="false">IF(OR(P223=$E223,R223=$E223,S223=$E223),1,0)</f>
        <v>1</v>
      </c>
      <c r="W223" s="4" t="n">
        <v>2</v>
      </c>
      <c r="X223" s="9" t="n">
        <f aca="false">-LN(MAX(T223,0.0001))</f>
        <v>1.65841809465582</v>
      </c>
      <c r="Y223" s="4" t="s">
        <v>152</v>
      </c>
      <c r="Z223" s="5" t="n">
        <v>0.55694</v>
      </c>
      <c r="AA223" s="4" t="s">
        <v>139</v>
      </c>
      <c r="AB223" s="4" t="s">
        <v>107</v>
      </c>
      <c r="AC223" s="5" t="n">
        <v>0.55694</v>
      </c>
      <c r="AD223" s="4" t="n">
        <f aca="false">IF(Y223=$E223,1,0)</f>
        <v>1</v>
      </c>
      <c r="AE223" s="4" t="n">
        <f aca="false">IF(OR(Y223=$E223,AA223=$E223,AB223=$E223),1,0)</f>
        <v>1</v>
      </c>
      <c r="AF223" s="4" t="n">
        <v>1</v>
      </c>
      <c r="AG223" s="9" t="n">
        <f aca="false">-LN(MAX(AC223,0.0001))</f>
        <v>0.585297764785248</v>
      </c>
    </row>
    <row r="224" customFormat="false" ht="15" hidden="false" customHeight="false" outlineLevel="0" collapsed="false">
      <c r="A224" s="4" t="n">
        <v>2026</v>
      </c>
      <c r="B224" s="4" t="n">
        <v>9</v>
      </c>
      <c r="C224" s="4" t="s">
        <v>123</v>
      </c>
      <c r="D224" s="4" t="s">
        <v>163</v>
      </c>
      <c r="E224" s="4" t="s">
        <v>139</v>
      </c>
      <c r="F224" s="4" t="n">
        <v>2</v>
      </c>
      <c r="G224" s="4" t="s">
        <v>165</v>
      </c>
      <c r="H224" s="5" t="n">
        <v>0.67672</v>
      </c>
      <c r="I224" s="4" t="s">
        <v>107</v>
      </c>
      <c r="J224" s="4" t="s">
        <v>152</v>
      </c>
      <c r="K224" s="5" t="n">
        <v>0.03888</v>
      </c>
      <c r="L224" s="4" t="n">
        <f aca="false">IF(G224=$E224,1,0)</f>
        <v>0</v>
      </c>
      <c r="M224" s="4" t="n">
        <f aca="false">IF(OR(G224=$E224,I224=$E224,J224=$E224),1,0)</f>
        <v>0</v>
      </c>
      <c r="N224" s="4" t="n">
        <v>2</v>
      </c>
      <c r="O224" s="9" t="n">
        <f aca="false">-LN(MAX(K224,0.0001))</f>
        <v>3.2472752993899</v>
      </c>
      <c r="P224" s="4" t="s">
        <v>152</v>
      </c>
      <c r="Q224" s="5" t="n">
        <v>0.22744</v>
      </c>
      <c r="R224" s="4" t="s">
        <v>116</v>
      </c>
      <c r="S224" s="4" t="s">
        <v>161</v>
      </c>
      <c r="T224" s="5" t="n">
        <v>0.05708</v>
      </c>
      <c r="U224" s="4" t="n">
        <f aca="false">IF(P224=$E224,1,0)</f>
        <v>0</v>
      </c>
      <c r="V224" s="4" t="n">
        <f aca="false">IF(OR(P224=$E224,R224=$E224,S224=$E224),1,0)</f>
        <v>0</v>
      </c>
      <c r="W224" s="4" t="n">
        <v>2</v>
      </c>
      <c r="X224" s="9" t="n">
        <f aca="false">-LN(MAX(T224,0.0001))</f>
        <v>2.8633014863735</v>
      </c>
      <c r="Y224" s="4" t="s">
        <v>165</v>
      </c>
      <c r="Z224" s="5" t="n">
        <v>0.55214</v>
      </c>
      <c r="AA224" s="4" t="s">
        <v>139</v>
      </c>
      <c r="AB224" s="4" t="s">
        <v>107</v>
      </c>
      <c r="AC224" s="5" t="n">
        <v>0.18984</v>
      </c>
      <c r="AD224" s="4" t="n">
        <f aca="false">IF(Y224=$E224,1,0)</f>
        <v>0</v>
      </c>
      <c r="AE224" s="4" t="n">
        <f aca="false">IF(OR(Y224=$E224,AA224=$E224,AB224=$E224),1,0)</f>
        <v>1</v>
      </c>
      <c r="AF224" s="4" t="n">
        <v>2</v>
      </c>
      <c r="AG224" s="9" t="n">
        <f aca="false">-LN(MAX(AC224,0.0001))</f>
        <v>1.66157366685463</v>
      </c>
    </row>
    <row r="225" customFormat="false" ht="15" hidden="false" customHeight="false" outlineLevel="0" collapsed="false">
      <c r="A225" s="4" t="n">
        <v>2026</v>
      </c>
      <c r="B225" s="4" t="n">
        <v>10</v>
      </c>
      <c r="C225" s="4" t="s">
        <v>126</v>
      </c>
      <c r="D225" s="4" t="s">
        <v>163</v>
      </c>
      <c r="E225" s="4" t="s">
        <v>165</v>
      </c>
      <c r="F225" s="4" t="n">
        <v>1</v>
      </c>
      <c r="G225" s="4" t="s">
        <v>165</v>
      </c>
      <c r="H225" s="5" t="n">
        <v>0.3223</v>
      </c>
      <c r="I225" s="4" t="s">
        <v>152</v>
      </c>
      <c r="J225" s="4" t="s">
        <v>107</v>
      </c>
      <c r="K225" s="5" t="n">
        <v>0.3223</v>
      </c>
      <c r="L225" s="4" t="n">
        <f aca="false">IF(G225=$E225,1,0)</f>
        <v>1</v>
      </c>
      <c r="M225" s="4" t="n">
        <f aca="false">IF(OR(G225=$E225,I225=$E225,J225=$E225),1,0)</f>
        <v>1</v>
      </c>
      <c r="N225" s="4" t="n">
        <v>1</v>
      </c>
      <c r="O225" s="9" t="n">
        <f aca="false">-LN(MAX(K225,0.0001))</f>
        <v>1.13227249016075</v>
      </c>
      <c r="P225" s="4" t="s">
        <v>152</v>
      </c>
      <c r="Q225" s="5" t="n">
        <v>0.3035</v>
      </c>
      <c r="R225" s="4" t="s">
        <v>107</v>
      </c>
      <c r="S225" s="4" t="s">
        <v>140</v>
      </c>
      <c r="T225" s="5" t="n">
        <v>0.0688</v>
      </c>
      <c r="U225" s="4" t="n">
        <f aca="false">IF(P225=$E225,1,0)</f>
        <v>0</v>
      </c>
      <c r="V225" s="4" t="n">
        <f aca="false">IF(OR(P225=$E225,R225=$E225,S225=$E225),1,0)</f>
        <v>0</v>
      </c>
      <c r="W225" s="4" t="n">
        <v>0</v>
      </c>
      <c r="X225" s="9" t="n">
        <f aca="false">-LN(MAX(T225,0.0001))</f>
        <v>2.67655153404284</v>
      </c>
      <c r="Y225" s="4" t="s">
        <v>165</v>
      </c>
      <c r="Z225" s="5" t="n">
        <v>0.55418</v>
      </c>
      <c r="AA225" s="4" t="s">
        <v>116</v>
      </c>
      <c r="AB225" s="4" t="s">
        <v>152</v>
      </c>
      <c r="AC225" s="5" t="n">
        <v>0.55418</v>
      </c>
      <c r="AD225" s="4" t="n">
        <f aca="false">IF(Y225=$E225,1,0)</f>
        <v>1</v>
      </c>
      <c r="AE225" s="4" t="n">
        <f aca="false">IF(OR(Y225=$E225,AA225=$E225,AB225=$E225),1,0)</f>
        <v>1</v>
      </c>
      <c r="AF225" s="4" t="n">
        <v>2</v>
      </c>
      <c r="AG225" s="9" t="n">
        <f aca="false">-LN(MAX(AC225,0.0001))</f>
        <v>0.590265735259302</v>
      </c>
    </row>
    <row r="226" customFormat="false" ht="15" hidden="false" customHeight="false" outlineLevel="0" collapsed="false">
      <c r="A226" s="4" t="n">
        <v>2026</v>
      </c>
      <c r="B226" s="4" t="n">
        <v>11</v>
      </c>
      <c r="C226" s="4" t="s">
        <v>124</v>
      </c>
      <c r="D226" s="4" t="s">
        <v>163</v>
      </c>
      <c r="E226" s="4" t="s">
        <v>140</v>
      </c>
      <c r="F226" s="4" t="n">
        <v>1</v>
      </c>
      <c r="G226" s="4" t="s">
        <v>140</v>
      </c>
      <c r="H226" s="5" t="n">
        <v>0.33726</v>
      </c>
      <c r="I226" s="4" t="s">
        <v>139</v>
      </c>
      <c r="J226" s="4" t="s">
        <v>107</v>
      </c>
      <c r="K226" s="5" t="n">
        <v>0.33726</v>
      </c>
      <c r="L226" s="4" t="n">
        <f aca="false">IF(G226=$E226,1,0)</f>
        <v>1</v>
      </c>
      <c r="M226" s="4" t="n">
        <f aca="false">IF(OR(G226=$E226,I226=$E226,J226=$E226),1,0)</f>
        <v>1</v>
      </c>
      <c r="N226" s="4" t="n">
        <v>1</v>
      </c>
      <c r="O226" s="9" t="n">
        <f aca="false">-LN(MAX(K226,0.0001))</f>
        <v>1.0869011327401</v>
      </c>
      <c r="P226" s="4" t="s">
        <v>152</v>
      </c>
      <c r="Q226" s="5" t="n">
        <v>0.19538</v>
      </c>
      <c r="R226" s="4" t="s">
        <v>107</v>
      </c>
      <c r="S226" s="4" t="s">
        <v>165</v>
      </c>
      <c r="T226" s="5" t="n">
        <v>0.12078</v>
      </c>
      <c r="U226" s="4" t="n">
        <f aca="false">IF(P226=$E226,1,0)</f>
        <v>0</v>
      </c>
      <c r="V226" s="4" t="n">
        <f aca="false">IF(OR(P226=$E226,R226=$E226,S226=$E226),1,0)</f>
        <v>0</v>
      </c>
      <c r="W226" s="4" t="n">
        <v>1</v>
      </c>
      <c r="X226" s="9" t="n">
        <f aca="false">-LN(MAX(T226,0.0001))</f>
        <v>2.11378457010238</v>
      </c>
      <c r="Y226" s="4" t="s">
        <v>140</v>
      </c>
      <c r="Z226" s="5" t="n">
        <v>0.47198</v>
      </c>
      <c r="AA226" s="4" t="s">
        <v>139</v>
      </c>
      <c r="AB226" s="4" t="s">
        <v>161</v>
      </c>
      <c r="AC226" s="5" t="n">
        <v>0.47198</v>
      </c>
      <c r="AD226" s="4" t="n">
        <f aca="false">IF(Y226=$E226,1,0)</f>
        <v>1</v>
      </c>
      <c r="AE226" s="4" t="n">
        <f aca="false">IF(OR(Y226=$E226,AA226=$E226,AB226=$E226),1,0)</f>
        <v>1</v>
      </c>
      <c r="AF226" s="4" t="n">
        <v>1</v>
      </c>
      <c r="AG226" s="9" t="n">
        <f aca="false">-LN(MAX(AC226,0.0001))</f>
        <v>0.750818667175694</v>
      </c>
    </row>
    <row r="227" customFormat="false" ht="15" hidden="false" customHeight="false" outlineLevel="0" collapsed="false">
      <c r="A227" s="4" t="n">
        <v>2026</v>
      </c>
      <c r="B227" s="4" t="n">
        <v>12</v>
      </c>
      <c r="C227" s="4" t="s">
        <v>154</v>
      </c>
      <c r="D227" s="4" t="s">
        <v>163</v>
      </c>
      <c r="E227" s="4" t="s">
        <v>140</v>
      </c>
      <c r="F227" s="4" t="n">
        <v>1</v>
      </c>
      <c r="G227" s="4" t="s">
        <v>140</v>
      </c>
      <c r="H227" s="5" t="n">
        <v>0.4592</v>
      </c>
      <c r="I227" s="4" t="s">
        <v>152</v>
      </c>
      <c r="J227" s="4" t="s">
        <v>165</v>
      </c>
      <c r="K227" s="5" t="n">
        <v>0.4592</v>
      </c>
      <c r="L227" s="4" t="n">
        <f aca="false">IF(G227=$E227,1,0)</f>
        <v>1</v>
      </c>
      <c r="M227" s="4" t="n">
        <f aca="false">IF(OR(G227=$E227,I227=$E227,J227=$E227),1,0)</f>
        <v>1</v>
      </c>
      <c r="N227" s="4" t="n">
        <v>3</v>
      </c>
      <c r="O227" s="9" t="n">
        <f aca="false">-LN(MAX(K227,0.0001))</f>
        <v>0.77826943397678</v>
      </c>
      <c r="P227" s="4" t="s">
        <v>140</v>
      </c>
      <c r="Q227" s="5" t="n">
        <v>0.19142</v>
      </c>
      <c r="R227" s="4" t="s">
        <v>152</v>
      </c>
      <c r="S227" s="4" t="s">
        <v>116</v>
      </c>
      <c r="T227" s="5" t="n">
        <v>0.19142</v>
      </c>
      <c r="U227" s="4" t="n">
        <f aca="false">IF(P227=$E227,1,0)</f>
        <v>1</v>
      </c>
      <c r="V227" s="4" t="n">
        <f aca="false">IF(OR(P227=$E227,R227=$E227,S227=$E227),1,0)</f>
        <v>1</v>
      </c>
      <c r="W227" s="4" t="n">
        <v>2</v>
      </c>
      <c r="X227" s="9" t="n">
        <f aca="false">-LN(MAX(T227,0.0001))</f>
        <v>1.65328531221438</v>
      </c>
      <c r="Y227" s="4" t="s">
        <v>140</v>
      </c>
      <c r="Z227" s="5" t="n">
        <v>0.44782</v>
      </c>
      <c r="AA227" s="4" t="s">
        <v>152</v>
      </c>
      <c r="AB227" s="4" t="s">
        <v>165</v>
      </c>
      <c r="AC227" s="5" t="n">
        <v>0.44782</v>
      </c>
      <c r="AD227" s="4" t="n">
        <f aca="false">IF(Y227=$E227,1,0)</f>
        <v>1</v>
      </c>
      <c r="AE227" s="4" t="n">
        <f aca="false">IF(OR(Y227=$E227,AA227=$E227,AB227=$E227),1,0)</f>
        <v>1</v>
      </c>
      <c r="AF227" s="4" t="n">
        <v>3</v>
      </c>
      <c r="AG227" s="9" t="n">
        <f aca="false">-LN(MAX(AC227,0.0001))</f>
        <v>0.803363913018945</v>
      </c>
    </row>
    <row r="228" customFormat="false" ht="15" hidden="false" customHeight="false" outlineLevel="0" collapsed="false">
      <c r="A228" s="4" t="n">
        <v>2026</v>
      </c>
      <c r="B228" s="4" t="n">
        <v>13</v>
      </c>
      <c r="C228" s="4" t="s">
        <v>127</v>
      </c>
      <c r="D228" s="4" t="s">
        <v>163</v>
      </c>
      <c r="E228" s="4" t="s">
        <v>165</v>
      </c>
      <c r="F228" s="4" t="n">
        <v>19</v>
      </c>
      <c r="G228" s="4" t="s">
        <v>152</v>
      </c>
      <c r="H228" s="5" t="n">
        <v>0.24738</v>
      </c>
      <c r="I228" s="4" t="s">
        <v>139</v>
      </c>
      <c r="J228" s="4" t="s">
        <v>107</v>
      </c>
      <c r="K228" s="5" t="n">
        <v>0.05158</v>
      </c>
      <c r="L228" s="4" t="n">
        <f aca="false">IF(G228=$E228,1,0)</f>
        <v>0</v>
      </c>
      <c r="M228" s="4" t="n">
        <f aca="false">IF(OR(G228=$E228,I228=$E228,J228=$E228),1,0)</f>
        <v>0</v>
      </c>
      <c r="N228" s="4" t="n">
        <v>1</v>
      </c>
      <c r="O228" s="9" t="n">
        <f aca="false">-LN(MAX(K228,0.0001))</f>
        <v>2.96462127852894</v>
      </c>
      <c r="P228" s="4" t="s">
        <v>140</v>
      </c>
      <c r="Q228" s="5" t="n">
        <v>0.22246</v>
      </c>
      <c r="R228" s="4" t="s">
        <v>152</v>
      </c>
      <c r="S228" s="4" t="s">
        <v>165</v>
      </c>
      <c r="T228" s="5" t="n">
        <v>0.13022</v>
      </c>
      <c r="U228" s="4" t="n">
        <f aca="false">IF(P228=$E228,1,0)</f>
        <v>0</v>
      </c>
      <c r="V228" s="4" t="n">
        <f aca="false">IF(OR(P228=$E228,R228=$E228,S228=$E228),1,0)</f>
        <v>1</v>
      </c>
      <c r="W228" s="4" t="n">
        <v>2</v>
      </c>
      <c r="X228" s="9" t="n">
        <f aca="false">-LN(MAX(T228,0.0001))</f>
        <v>2.03852995117342</v>
      </c>
      <c r="Y228" s="4" t="s">
        <v>145</v>
      </c>
      <c r="Z228" s="5" t="n">
        <v>0.5492</v>
      </c>
      <c r="AA228" s="4" t="s">
        <v>152</v>
      </c>
      <c r="AB228" s="4" t="s">
        <v>139</v>
      </c>
      <c r="AC228" s="5" t="n">
        <v>0.00256</v>
      </c>
      <c r="AD228" s="4" t="n">
        <f aca="false">IF(Y228=$E228,1,0)</f>
        <v>0</v>
      </c>
      <c r="AE228" s="4" t="n">
        <f aca="false">IF(OR(Y228=$E228,AA228=$E228,AB228=$E228),1,0)</f>
        <v>0</v>
      </c>
      <c r="AF228" s="4" t="n">
        <v>1</v>
      </c>
      <c r="AG228" s="9" t="n">
        <f aca="false">-LN(MAX(AC228,0.0001))</f>
        <v>5.96774802049067</v>
      </c>
    </row>
    <row r="229" customFormat="false" ht="15" hidden="false" customHeight="false" outlineLevel="0" collapsed="false">
      <c r="A229" s="4" t="n">
        <v>2026</v>
      </c>
      <c r="B229" s="4" t="n">
        <v>14</v>
      </c>
      <c r="C229" s="4" t="s">
        <v>115</v>
      </c>
      <c r="D229" s="4" t="s">
        <v>163</v>
      </c>
      <c r="E229" s="4" t="s">
        <v>165</v>
      </c>
      <c r="F229" s="4" t="n">
        <v>2</v>
      </c>
      <c r="G229" s="4" t="s">
        <v>140</v>
      </c>
      <c r="H229" s="5" t="n">
        <v>0.3658</v>
      </c>
      <c r="I229" s="4" t="s">
        <v>165</v>
      </c>
      <c r="J229" s="4" t="s">
        <v>107</v>
      </c>
      <c r="K229" s="5" t="n">
        <v>0.33698</v>
      </c>
      <c r="L229" s="4" t="n">
        <f aca="false">IF(G229=$E229,1,0)</f>
        <v>0</v>
      </c>
      <c r="M229" s="4" t="n">
        <f aca="false">IF(OR(G229=$E229,I229=$E229,J229=$E229),1,0)</f>
        <v>1</v>
      </c>
      <c r="N229" s="4" t="n">
        <v>2</v>
      </c>
      <c r="O229" s="9" t="n">
        <f aca="false">-LN(MAX(K229,0.0001))</f>
        <v>1.0877316975719</v>
      </c>
      <c r="P229" s="4" t="s">
        <v>152</v>
      </c>
      <c r="Q229" s="5" t="n">
        <v>0.22008</v>
      </c>
      <c r="R229" s="4" t="s">
        <v>140</v>
      </c>
      <c r="S229" s="4" t="s">
        <v>165</v>
      </c>
      <c r="T229" s="5" t="n">
        <v>0.15976</v>
      </c>
      <c r="U229" s="4" t="n">
        <f aca="false">IF(P229=$E229,1,0)</f>
        <v>0</v>
      </c>
      <c r="V229" s="4" t="n">
        <f aca="false">IF(OR(P229=$E229,R229=$E229,S229=$E229),1,0)</f>
        <v>1</v>
      </c>
      <c r="W229" s="4" t="n">
        <v>2</v>
      </c>
      <c r="X229" s="9" t="n">
        <f aca="false">-LN(MAX(T229,0.0001))</f>
        <v>1.83408258987458</v>
      </c>
      <c r="Y229" s="4" t="s">
        <v>140</v>
      </c>
      <c r="Z229" s="5" t="n">
        <v>0.48206</v>
      </c>
      <c r="AA229" s="4" t="s">
        <v>165</v>
      </c>
      <c r="AB229" s="4" t="s">
        <v>116</v>
      </c>
      <c r="AC229" s="5" t="n">
        <v>0.22482</v>
      </c>
      <c r="AD229" s="4" t="n">
        <f aca="false">IF(Y229=$E229,1,0)</f>
        <v>0</v>
      </c>
      <c r="AE229" s="4" t="n">
        <f aca="false">IF(OR(Y229=$E229,AA229=$E229,AB229=$E229),1,0)</f>
        <v>1</v>
      </c>
      <c r="AF229" s="4" t="n">
        <v>3</v>
      </c>
      <c r="AG229" s="9" t="n">
        <f aca="false">-LN(MAX(AC229,0.0001))</f>
        <v>1.49245519694849</v>
      </c>
    </row>
    <row r="230" customFormat="false" ht="15" hidden="false" customHeight="false" outlineLevel="0" collapsed="false">
      <c r="A230" s="4" t="n">
        <v>2026</v>
      </c>
      <c r="B230" s="4" t="n">
        <v>15</v>
      </c>
      <c r="C230" s="4" t="s">
        <v>135</v>
      </c>
      <c r="D230" s="4" t="s">
        <v>163</v>
      </c>
      <c r="E230" s="4" t="s">
        <v>152</v>
      </c>
      <c r="F230" s="4" t="n">
        <v>1</v>
      </c>
      <c r="G230" s="4" t="s">
        <v>152</v>
      </c>
      <c r="H230" s="5" t="n">
        <v>0.61654</v>
      </c>
      <c r="I230" s="4" t="s">
        <v>139</v>
      </c>
      <c r="J230" s="4" t="s">
        <v>140</v>
      </c>
      <c r="K230" s="5" t="n">
        <v>0.61654</v>
      </c>
      <c r="L230" s="4" t="n">
        <f aca="false">IF(G230=$E230,1,0)</f>
        <v>1</v>
      </c>
      <c r="M230" s="4" t="n">
        <f aca="false">IF(OR(G230=$E230,I230=$E230,J230=$E230),1,0)</f>
        <v>1</v>
      </c>
      <c r="N230" s="4" t="n">
        <v>1</v>
      </c>
      <c r="O230" s="9" t="n">
        <f aca="false">-LN(MAX(K230,0.0001))</f>
        <v>0.483632076081861</v>
      </c>
      <c r="P230" s="4" t="s">
        <v>152</v>
      </c>
      <c r="Q230" s="5" t="n">
        <v>0.2045</v>
      </c>
      <c r="R230" s="4" t="s">
        <v>140</v>
      </c>
      <c r="S230" s="4" t="s">
        <v>165</v>
      </c>
      <c r="T230" s="5" t="n">
        <v>0.2045</v>
      </c>
      <c r="U230" s="4" t="n">
        <f aca="false">IF(P230=$E230,1,0)</f>
        <v>1</v>
      </c>
      <c r="V230" s="4" t="n">
        <f aca="false">IF(OR(P230=$E230,R230=$E230,S230=$E230),1,0)</f>
        <v>1</v>
      </c>
      <c r="W230" s="4" t="n">
        <v>1</v>
      </c>
      <c r="X230" s="9" t="n">
        <f aca="false">-LN(MAX(T230,0.0001))</f>
        <v>1.58718730349928</v>
      </c>
      <c r="Y230" s="4" t="s">
        <v>152</v>
      </c>
      <c r="Z230" s="5" t="n">
        <v>0.55088</v>
      </c>
      <c r="AA230" s="4" t="s">
        <v>139</v>
      </c>
      <c r="AB230" s="4" t="s">
        <v>161</v>
      </c>
      <c r="AC230" s="5" t="n">
        <v>0.55088</v>
      </c>
      <c r="AD230" s="4" t="n">
        <f aca="false">IF(Y230=$E230,1,0)</f>
        <v>1</v>
      </c>
      <c r="AE230" s="4" t="n">
        <f aca="false">IF(OR(Y230=$E230,AA230=$E230,AB230=$E230),1,0)</f>
        <v>1</v>
      </c>
      <c r="AF230" s="4" t="n">
        <v>1</v>
      </c>
      <c r="AG230" s="9" t="n">
        <f aca="false">-LN(MAX(AC230,0.0001))</f>
        <v>0.596238279391923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2026-10-02T16:06:44Z</dcterms:created>
  <dc:creator>openpyxl</dc:creator>
  <dc:description/>
  <dc:language>en-US</dc:language>
  <cp:lastModifiedBy/>
  <dcterms:modified xsi:type="dcterms:W3CDTF">2026-10-02T16:06:44Z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